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os_doc\disciplinas\CONFIABILIDADE_SISTEMAS\"/>
    </mc:Choice>
  </mc:AlternateContent>
  <xr:revisionPtr revIDLastSave="0" documentId="13_ncr:1_{BB60A347-060B-4F1A-AB88-7986C3C95CCF}" xr6:coauthVersionLast="47" xr6:coauthVersionMax="47" xr10:uidLastSave="{00000000-0000-0000-0000-000000000000}"/>
  <bookViews>
    <workbookView xWindow="-108" yWindow="-108" windowWidth="23256" windowHeight="12456" firstSheet="10" activeTab="23" xr2:uid="{859E6ABC-1199-4EBC-B3AF-BF1D1983B9A5}"/>
  </bookViews>
  <sheets>
    <sheet name="slide168" sheetId="1" r:id="rId1"/>
    <sheet name="exemplo3.8_exp" sheetId="7" r:id="rId2"/>
    <sheet name="exemplo3.9_weib" sheetId="8" r:id="rId3"/>
    <sheet name="3.1" sheetId="2" r:id="rId4"/>
    <sheet name="3.2" sheetId="3" r:id="rId5"/>
    <sheet name="3.10" sheetId="4" r:id="rId6"/>
    <sheet name="3.11" sheetId="6" r:id="rId7"/>
    <sheet name="3.12" sheetId="9" r:id="rId8"/>
    <sheet name="3.13" sheetId="10" r:id="rId9"/>
    <sheet name="3.14" sheetId="11" r:id="rId10"/>
    <sheet name="3.15" sheetId="12" r:id="rId11"/>
    <sheet name="3.16" sheetId="13" r:id="rId12"/>
    <sheet name="3.17" sheetId="14" r:id="rId13"/>
    <sheet name="3.18" sheetId="15" r:id="rId14"/>
    <sheet name="3.19" sheetId="16" r:id="rId15"/>
    <sheet name="3.20" sheetId="17" r:id="rId16"/>
    <sheet name="3.21" sheetId="18" r:id="rId17"/>
    <sheet name="3.22" sheetId="19" r:id="rId18"/>
    <sheet name="3.23" sheetId="20" r:id="rId19"/>
    <sheet name="3.24" sheetId="21" r:id="rId20"/>
    <sheet name="3.25" sheetId="22" r:id="rId21"/>
    <sheet name="3.26" sheetId="23" r:id="rId22"/>
    <sheet name="3.29" sheetId="24" r:id="rId23"/>
    <sheet name="3.30" sheetId="25" r:id="rId2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5" l="1"/>
  <c r="E12" i="25"/>
  <c r="E13" i="25"/>
  <c r="E14" i="25"/>
  <c r="E10" i="25"/>
  <c r="H11" i="25"/>
  <c r="E18" i="25" s="1"/>
  <c r="C14" i="25"/>
  <c r="D14" i="25" s="1"/>
  <c r="C11" i="25"/>
  <c r="D11" i="25" s="1"/>
  <c r="C12" i="25"/>
  <c r="D12" i="25" s="1"/>
  <c r="C13" i="25"/>
  <c r="D13" i="25"/>
  <c r="C10" i="25"/>
  <c r="B5" i="25"/>
  <c r="G4" i="25"/>
  <c r="C4" i="25"/>
  <c r="D4" i="25"/>
  <c r="E4" i="25"/>
  <c r="F4" i="25"/>
  <c r="B4" i="25"/>
  <c r="E16" i="25" l="1"/>
  <c r="D10" i="25"/>
  <c r="B20" i="24" l="1"/>
  <c r="B19" i="24"/>
  <c r="B18" i="24"/>
  <c r="B17" i="24"/>
  <c r="B16" i="24"/>
  <c r="B15" i="24"/>
  <c r="B14" i="24"/>
  <c r="B13" i="24"/>
  <c r="A7" i="24"/>
  <c r="B10" i="24" s="1"/>
  <c r="B11" i="24" s="1"/>
  <c r="B13" i="23"/>
  <c r="B11" i="23"/>
  <c r="B7" i="23"/>
  <c r="B9" i="23"/>
  <c r="B10" i="23" s="1"/>
  <c r="B6" i="23"/>
  <c r="B5" i="23"/>
  <c r="B9" i="22"/>
  <c r="B16" i="22" s="1"/>
  <c r="B20" i="22" s="1"/>
  <c r="B8" i="22"/>
  <c r="B17" i="22" s="1"/>
  <c r="B21" i="22" s="1"/>
  <c r="B13" i="22"/>
  <c r="B12" i="22"/>
  <c r="B7" i="22"/>
  <c r="B6" i="22"/>
  <c r="B5" i="22"/>
  <c r="B16" i="21"/>
  <c r="B15" i="21"/>
  <c r="B14" i="21"/>
  <c r="B13" i="21"/>
  <c r="B12" i="21"/>
  <c r="B11" i="21"/>
  <c r="B10" i="21"/>
  <c r="B9" i="21"/>
  <c r="B8" i="21"/>
  <c r="B6" i="21"/>
  <c r="B17" i="20"/>
  <c r="B16" i="20"/>
  <c r="B10" i="20"/>
  <c r="B8" i="20"/>
  <c r="B11" i="20" s="1"/>
  <c r="B14" i="20" s="1"/>
  <c r="B19" i="20" s="1"/>
  <c r="B2" i="20"/>
  <c r="B1" i="20"/>
  <c r="B3" i="20" s="1"/>
  <c r="B5" i="20" s="1"/>
  <c r="B6" i="20" s="1"/>
  <c r="B6" i="19"/>
  <c r="C6" i="19"/>
  <c r="B7" i="19"/>
  <c r="C7" i="19"/>
  <c r="B8" i="19"/>
  <c r="C8" i="19"/>
  <c r="B9" i="19"/>
  <c r="C9" i="19"/>
  <c r="B10" i="19"/>
  <c r="C10" i="19"/>
  <c r="D10" i="19" s="1"/>
  <c r="B11" i="19"/>
  <c r="C11" i="19"/>
  <c r="B12" i="19"/>
  <c r="C12" i="19"/>
  <c r="B13" i="19"/>
  <c r="D13" i="19" s="1"/>
  <c r="C13" i="19"/>
  <c r="B14" i="19"/>
  <c r="C14" i="19"/>
  <c r="B15" i="19"/>
  <c r="C15" i="19"/>
  <c r="B16" i="19"/>
  <c r="C16" i="19"/>
  <c r="D16" i="19" s="1"/>
  <c r="B17" i="19"/>
  <c r="C17" i="19"/>
  <c r="D17" i="19" s="1"/>
  <c r="B18" i="19"/>
  <c r="C18" i="19"/>
  <c r="D18" i="19" s="1"/>
  <c r="B19" i="19"/>
  <c r="D19" i="19" s="1"/>
  <c r="C19" i="19"/>
  <c r="B20" i="19"/>
  <c r="C20" i="19"/>
  <c r="C5" i="19"/>
  <c r="B5" i="19"/>
  <c r="D20" i="19"/>
  <c r="D8" i="19"/>
  <c r="D9" i="19"/>
  <c r="D12" i="19"/>
  <c r="D14" i="19"/>
  <c r="D6" i="19"/>
  <c r="D7" i="19"/>
  <c r="B3" i="19"/>
  <c r="B15" i="18"/>
  <c r="B12" i="18"/>
  <c r="B10" i="18"/>
  <c r="B9" i="18"/>
  <c r="B8" i="18"/>
  <c r="J4" i="18"/>
  <c r="F4" i="18"/>
  <c r="G4" i="18"/>
  <c r="H4" i="18"/>
  <c r="I4" i="18"/>
  <c r="E4" i="18"/>
  <c r="B7" i="18"/>
  <c r="J2" i="18"/>
  <c r="B6" i="18"/>
  <c r="B6" i="14"/>
  <c r="B5" i="18"/>
  <c r="B6" i="17"/>
  <c r="B5" i="17"/>
  <c r="B4" i="17"/>
  <c r="B11" i="16"/>
  <c r="B10" i="16"/>
  <c r="B6" i="13"/>
  <c r="B7" i="16"/>
  <c r="B9" i="16" s="1"/>
  <c r="B8" i="16"/>
  <c r="B6" i="16"/>
  <c r="B2" i="16"/>
  <c r="B4" i="16" s="1"/>
  <c r="B5" i="16" s="1"/>
  <c r="Q17" i="15"/>
  <c r="Q16" i="15"/>
  <c r="F4" i="15"/>
  <c r="C14" i="15" s="1"/>
  <c r="F5" i="15"/>
  <c r="C15" i="15" s="1"/>
  <c r="F6" i="15"/>
  <c r="C16" i="15" s="1"/>
  <c r="F7" i="15"/>
  <c r="F8" i="15"/>
  <c r="F9" i="15"/>
  <c r="F3" i="15"/>
  <c r="E5" i="15"/>
  <c r="E6" i="15"/>
  <c r="E7" i="15"/>
  <c r="E8" i="15" s="1"/>
  <c r="E9" i="15" s="1"/>
  <c r="E4" i="15"/>
  <c r="E3" i="15"/>
  <c r="D10" i="15"/>
  <c r="B6" i="15"/>
  <c r="B7" i="15"/>
  <c r="B8" i="15"/>
  <c r="B9" i="15"/>
  <c r="B10" i="15"/>
  <c r="B5" i="15"/>
  <c r="B4" i="15"/>
  <c r="B19" i="15"/>
  <c r="B18" i="15"/>
  <c r="B17" i="15"/>
  <c r="B16" i="15"/>
  <c r="B15" i="15"/>
  <c r="B14" i="15"/>
  <c r="C18" i="15"/>
  <c r="C17" i="15"/>
  <c r="G3" i="15"/>
  <c r="C23" i="15" s="1"/>
  <c r="B23" i="14"/>
  <c r="B24" i="14" s="1"/>
  <c r="B11" i="14"/>
  <c r="B10" i="14"/>
  <c r="B9" i="14"/>
  <c r="G7" i="14"/>
  <c r="B3" i="14" s="1"/>
  <c r="B2" i="14"/>
  <c r="B9" i="13"/>
  <c r="B15" i="13" s="1"/>
  <c r="B18" i="13" s="1"/>
  <c r="B8" i="13"/>
  <c r="B14" i="13" s="1"/>
  <c r="B17" i="13" s="1"/>
  <c r="B6" i="12"/>
  <c r="B2" i="13"/>
  <c r="B2" i="12"/>
  <c r="B6" i="11"/>
  <c r="B8" i="11"/>
  <c r="B9" i="11"/>
  <c r="B5" i="11"/>
  <c r="B4" i="11"/>
  <c r="B8" i="10"/>
  <c r="B5" i="10"/>
  <c r="B6" i="10" s="1"/>
  <c r="B7" i="10" s="1"/>
  <c r="B4" i="10"/>
  <c r="C4" i="9"/>
  <c r="B5" i="9" s="1"/>
  <c r="G5" i="9" s="1"/>
  <c r="B8" i="9"/>
  <c r="B7" i="9"/>
  <c r="G7" i="9" s="1"/>
  <c r="B6" i="9"/>
  <c r="G6" i="9" s="1"/>
  <c r="B4" i="9"/>
  <c r="H3" i="9"/>
  <c r="G3" i="9"/>
  <c r="F3" i="9"/>
  <c r="E3" i="9"/>
  <c r="E4" i="9" s="1"/>
  <c r="C23" i="6"/>
  <c r="C24" i="6"/>
  <c r="C25" i="6"/>
  <c r="C26" i="6"/>
  <c r="C27" i="6"/>
  <c r="C22" i="6"/>
  <c r="C15" i="7" s="1"/>
  <c r="C4" i="6"/>
  <c r="D4" i="6"/>
  <c r="C5" i="6"/>
  <c r="D5" i="6" s="1"/>
  <c r="C6" i="6"/>
  <c r="D6" i="6"/>
  <c r="C7" i="6"/>
  <c r="C16" i="6" s="1"/>
  <c r="C8" i="6"/>
  <c r="C17" i="6" s="1"/>
  <c r="D8" i="6"/>
  <c r="C9" i="6"/>
  <c r="D9" i="6" s="1"/>
  <c r="C3" i="6"/>
  <c r="D3" i="6" s="1"/>
  <c r="F21" i="8"/>
  <c r="F22" i="8" s="1"/>
  <c r="C24" i="8"/>
  <c r="C23" i="8"/>
  <c r="C22" i="8"/>
  <c r="C21" i="8"/>
  <c r="C20" i="8"/>
  <c r="C19" i="8"/>
  <c r="C18" i="8"/>
  <c r="C17" i="8"/>
  <c r="C16" i="8"/>
  <c r="B17" i="8"/>
  <c r="B18" i="8"/>
  <c r="B19" i="8"/>
  <c r="B20" i="8"/>
  <c r="B21" i="8"/>
  <c r="B22" i="8"/>
  <c r="B23" i="8"/>
  <c r="B24" i="8"/>
  <c r="B16" i="8"/>
  <c r="D4" i="8"/>
  <c r="D5" i="8"/>
  <c r="D6" i="8"/>
  <c r="D7" i="8"/>
  <c r="D8" i="8"/>
  <c r="D9" i="8"/>
  <c r="D10" i="8"/>
  <c r="D11" i="8"/>
  <c r="D12" i="8"/>
  <c r="D3" i="8"/>
  <c r="C4" i="8"/>
  <c r="C5" i="8"/>
  <c r="C6" i="8"/>
  <c r="C7" i="8"/>
  <c r="C8" i="8"/>
  <c r="C9" i="8"/>
  <c r="C10" i="8"/>
  <c r="C11" i="8"/>
  <c r="C12" i="8"/>
  <c r="C3" i="8"/>
  <c r="B8" i="1"/>
  <c r="F22" i="7"/>
  <c r="E19" i="7"/>
  <c r="B16" i="7"/>
  <c r="B17" i="7"/>
  <c r="B18" i="7"/>
  <c r="B19" i="7"/>
  <c r="B20" i="7"/>
  <c r="B21" i="7"/>
  <c r="B22" i="7"/>
  <c r="B23" i="7"/>
  <c r="B15" i="7"/>
  <c r="D5" i="7"/>
  <c r="C17" i="7" s="1"/>
  <c r="D7" i="7"/>
  <c r="C19" i="7" s="1"/>
  <c r="D8" i="7"/>
  <c r="C20" i="7" s="1"/>
  <c r="D9" i="7"/>
  <c r="C21" i="7" s="1"/>
  <c r="C4" i="7"/>
  <c r="D4" i="7" s="1"/>
  <c r="C16" i="7" s="1"/>
  <c r="C5" i="7"/>
  <c r="C6" i="7"/>
  <c r="D6" i="7" s="1"/>
  <c r="C18" i="7" s="1"/>
  <c r="C7" i="7"/>
  <c r="C8" i="7"/>
  <c r="C9" i="7"/>
  <c r="C10" i="7"/>
  <c r="D10" i="7" s="1"/>
  <c r="C22" i="7" s="1"/>
  <c r="C11" i="7"/>
  <c r="D11" i="7" s="1"/>
  <c r="C23" i="7" s="1"/>
  <c r="C3" i="7"/>
  <c r="D3" i="7" s="1"/>
  <c r="C14" i="6"/>
  <c r="C15" i="6"/>
  <c r="C13" i="6"/>
  <c r="B14" i="6"/>
  <c r="B15" i="6"/>
  <c r="B16" i="6"/>
  <c r="B17" i="6"/>
  <c r="B18" i="6"/>
  <c r="B13" i="6"/>
  <c r="E5" i="4"/>
  <c r="E6" i="4"/>
  <c r="E7" i="4" s="1"/>
  <c r="E8" i="4" s="1"/>
  <c r="E9" i="4" s="1"/>
  <c r="E4" i="4"/>
  <c r="E3" i="4"/>
  <c r="H3" i="4"/>
  <c r="F3" i="4"/>
  <c r="G8" i="4"/>
  <c r="G7" i="4"/>
  <c r="G6" i="4"/>
  <c r="G5" i="4"/>
  <c r="G4" i="4"/>
  <c r="G3" i="4"/>
  <c r="B5" i="4"/>
  <c r="B6" i="4"/>
  <c r="B7" i="4"/>
  <c r="B8" i="4"/>
  <c r="B4" i="4"/>
  <c r="B7" i="3"/>
  <c r="B6" i="3"/>
  <c r="B9" i="3"/>
  <c r="B8" i="3"/>
  <c r="C7" i="3"/>
  <c r="D7" i="3" s="1"/>
  <c r="C6" i="3"/>
  <c r="D6" i="3"/>
  <c r="B5" i="2"/>
  <c r="B12" i="1"/>
  <c r="B9" i="1"/>
  <c r="D10" i="1" s="1"/>
  <c r="B7" i="1"/>
  <c r="B9" i="24" l="1"/>
  <c r="B13" i="20"/>
  <c r="B18" i="20" s="1"/>
  <c r="D11" i="19"/>
  <c r="D15" i="19"/>
  <c r="D5" i="19"/>
  <c r="G5" i="15"/>
  <c r="C25" i="15" s="1"/>
  <c r="G4" i="15"/>
  <c r="C24" i="15" s="1"/>
  <c r="G6" i="15"/>
  <c r="C26" i="15" s="1"/>
  <c r="G7" i="15"/>
  <c r="C27" i="15" s="1"/>
  <c r="G8" i="15"/>
  <c r="C28" i="15" s="1"/>
  <c r="H3" i="14"/>
  <c r="H4" i="14"/>
  <c r="H5" i="14"/>
  <c r="H6" i="14"/>
  <c r="H2" i="14"/>
  <c r="B7" i="14"/>
  <c r="B7" i="12"/>
  <c r="B8" i="12" s="1"/>
  <c r="B7" i="13"/>
  <c r="G4" i="9"/>
  <c r="F4" i="9"/>
  <c r="E5" i="9"/>
  <c r="H4" i="9"/>
  <c r="C18" i="6"/>
  <c r="D7" i="6"/>
  <c r="C10" i="1"/>
  <c r="B10" i="1"/>
  <c r="F4" i="4"/>
  <c r="F5" i="4"/>
  <c r="H4" i="4"/>
  <c r="H7" i="14" l="1"/>
  <c r="B4" i="14" s="1"/>
  <c r="B16" i="14" s="1"/>
  <c r="B19" i="14" s="1"/>
  <c r="B11" i="13"/>
  <c r="B12" i="13"/>
  <c r="E6" i="9"/>
  <c r="H5" i="9"/>
  <c r="F5" i="9"/>
  <c r="E10" i="1"/>
  <c r="B11" i="1" s="1"/>
  <c r="B13" i="1" s="1"/>
  <c r="F6" i="4"/>
  <c r="H5" i="4"/>
  <c r="B17" i="14" l="1"/>
  <c r="B20" i="14" s="1"/>
  <c r="B13" i="14"/>
  <c r="B14" i="14"/>
  <c r="E7" i="9"/>
  <c r="H6" i="9"/>
  <c r="F6" i="9"/>
  <c r="F7" i="4"/>
  <c r="H6" i="4"/>
  <c r="F8" i="4"/>
  <c r="F7" i="9" l="1"/>
  <c r="H7" i="9"/>
  <c r="H7" i="4"/>
  <c r="E9" i="9" l="1"/>
</calcChain>
</file>

<file path=xl/sharedStrings.xml><?xml version="1.0" encoding="utf-8"?>
<sst xmlns="http://schemas.openxmlformats.org/spreadsheetml/2006/main" count="329" uniqueCount="215">
  <si>
    <t xml:space="preserve">beta </t>
  </si>
  <si>
    <t>soma (1/(alfa^beta))</t>
  </si>
  <si>
    <t>Gama[1+1/beta]</t>
  </si>
  <si>
    <t>t_1</t>
  </si>
  <si>
    <t>t_2</t>
  </si>
  <si>
    <t>t_3</t>
  </si>
  <si>
    <t>alfa_1=t_1/{[-ln[R(t_1]^(1/beta)}</t>
  </si>
  <si>
    <t>alfa_1=t_2/{[-ln[R(t_2]^(1/beta)}</t>
  </si>
  <si>
    <t>alfa_1=t_3/{[-ln[R(t_3]^(1/beta)}</t>
  </si>
  <si>
    <t>alfa_sys = (soma (1/(alfa_i^beta)))^(-1/beta)</t>
  </si>
  <si>
    <t>R(12000)=R(18500)=R(21500)=exp(t/alfa_i)^(1/beta)</t>
  </si>
  <si>
    <t>t1</t>
  </si>
  <si>
    <t xml:space="preserve">Pr(x&lt;200) = </t>
  </si>
  <si>
    <t>Valor x</t>
  </si>
  <si>
    <t>alfa</t>
  </si>
  <si>
    <t>beta</t>
  </si>
  <si>
    <t>PDF Gama</t>
  </si>
  <si>
    <t>PDF Weibull</t>
  </si>
  <si>
    <t>t2</t>
  </si>
  <si>
    <t>Pr(X&gt;1)</t>
  </si>
  <si>
    <t>Pr(X&gt;10)</t>
  </si>
  <si>
    <t>Gama(alfa)</t>
  </si>
  <si>
    <t>MTTF = gama(beta)*alfa</t>
  </si>
  <si>
    <t>equipamentos n</t>
  </si>
  <si>
    <t>R(t)</t>
  </si>
  <si>
    <t>f(t)</t>
  </si>
  <si>
    <t>h(t)</t>
  </si>
  <si>
    <t>inicio</t>
  </si>
  <si>
    <t>fim</t>
  </si>
  <si>
    <t>i</t>
  </si>
  <si>
    <t>Nf</t>
  </si>
  <si>
    <t>Ns</t>
  </si>
  <si>
    <t>motores elet</t>
  </si>
  <si>
    <t>F(t)</t>
  </si>
  <si>
    <t>LN(t_i)</t>
  </si>
  <si>
    <t>LN{LN[1/R(t)]}</t>
  </si>
  <si>
    <t>diesel gen</t>
  </si>
  <si>
    <t>1/R(t)</t>
  </si>
  <si>
    <t>LN[1/R(t)]</t>
  </si>
  <si>
    <t xml:space="preserve">Calcular a taxa de falha = coeficiente de inclinacao do grafico </t>
  </si>
  <si>
    <t>R(193)</t>
  </si>
  <si>
    <t>(taxa por dia)</t>
  </si>
  <si>
    <t>(taxa por horas)</t>
  </si>
  <si>
    <t>Calcular a confiabilidade para T=193 h</t>
  </si>
  <si>
    <t>T (hs)</t>
  </si>
  <si>
    <t>t_i (dia)</t>
  </si>
  <si>
    <t>Dados</t>
  </si>
  <si>
    <t>MTTF(R=0.9) = alfa_sys * Gama[1+1/beta)</t>
  </si>
  <si>
    <r>
      <t xml:space="preserve">Para Plotar o grafico da </t>
    </r>
    <r>
      <rPr>
        <b/>
        <sz val="11"/>
        <color theme="1"/>
        <rFont val="Aptos Narrow"/>
        <family val="2"/>
        <scheme val="minor"/>
      </rPr>
      <t>EXPONENCIAL</t>
    </r>
    <r>
      <rPr>
        <sz val="11"/>
        <color theme="1"/>
        <rFont val="Aptos Narrow"/>
        <family val="2"/>
        <scheme val="minor"/>
      </rPr>
      <t xml:space="preserve"> precisa fazer -LN(1/R(t))</t>
    </r>
  </si>
  <si>
    <t>t_i (horas)</t>
  </si>
  <si>
    <t>equipmentos</t>
  </si>
  <si>
    <t>LN{LN[1/R(t)])</t>
  </si>
  <si>
    <r>
      <t xml:space="preserve">Para Plotar o grafico da </t>
    </r>
    <r>
      <rPr>
        <b/>
        <sz val="11"/>
        <color theme="1"/>
        <rFont val="Aptos Narrow"/>
        <family val="2"/>
        <scheme val="minor"/>
      </rPr>
      <t>WEIBULL</t>
    </r>
    <r>
      <rPr>
        <sz val="11"/>
        <color theme="1"/>
        <rFont val="Aptos Narrow"/>
        <family val="2"/>
        <scheme val="minor"/>
      </rPr>
      <t xml:space="preserve"> precisa fazer o LN(t_i) e LN(LN(1/R(t)))</t>
    </r>
  </si>
  <si>
    <t xml:space="preserve">BETA = coeficiente de inclinacao do grafico </t>
  </si>
  <si>
    <t>ALFA</t>
  </si>
  <si>
    <t>LN(ALFA)</t>
  </si>
  <si>
    <t>ALFA (horas)</t>
  </si>
  <si>
    <t>Bate com o livro</t>
  </si>
  <si>
    <t>No livro foi 420 horas, depende muito da aproximacao do LN</t>
  </si>
  <si>
    <t>Para calcular ALFA fazer y=0.632=1.8*LN(ALFA)-10.449</t>
  </si>
  <si>
    <t>Para Plotar o grafico da WEIBULL (ver ex. 3.9)</t>
  </si>
  <si>
    <t>Para Plotar o grafico da EXPONENCAIL (ver ex. 3.8)</t>
  </si>
  <si>
    <t>SOLUCAO</t>
  </si>
  <si>
    <t>Distribuicao WEIBULL melhor</t>
  </si>
  <si>
    <t>Circuitos integrados</t>
  </si>
  <si>
    <t>Teste de tipo II</t>
  </si>
  <si>
    <t>Falha</t>
  </si>
  <si>
    <t>Tempo  (h)</t>
  </si>
  <si>
    <t>Lambda (1/h)</t>
  </si>
  <si>
    <t>p_maximo</t>
  </si>
  <si>
    <t>Probabilidade que lambda nao seja maior de lambda_1</t>
  </si>
  <si>
    <t>Lambda (1/ciclos)</t>
  </si>
  <si>
    <t>Chi^2_(1-alfa) = 2*Tempo*Lambda_1</t>
  </si>
  <si>
    <t>Lambda_1 (1/h) de referencai</t>
  </si>
  <si>
    <t>Considero o intervalo limitado a direita</t>
  </si>
  <si>
    <t>P(Lambda &lt; Lambda_1) = p_maximo</t>
  </si>
  <si>
    <t>Calculo alfa com formula de excel</t>
  </si>
  <si>
    <t>Falha r</t>
  </si>
  <si>
    <t>probabilidade de sobreviver em 300 ciclos R(300)</t>
  </si>
  <si>
    <t>probabilidade de sobreviver em 500 ciclos R(500)</t>
  </si>
  <si>
    <t>P(X&gt;500|X&gt;300) = 1-R(500)/[1-R(300)]</t>
  </si>
  <si>
    <t>probabilidade de falhar depois 500 ciclos tendo sobrevivido 300</t>
  </si>
  <si>
    <t>Numero esperados de componentes que falham depois 500 ciclos</t>
  </si>
  <si>
    <t>Numero de componenets sobrevividos depois 300 ciclos</t>
  </si>
  <si>
    <t>MTTF</t>
  </si>
  <si>
    <t>Numero de arvores</t>
  </si>
  <si>
    <t>media</t>
  </si>
  <si>
    <t>media cm</t>
  </si>
  <si>
    <t>desvio padrao cm</t>
  </si>
  <si>
    <t>alfa (95% de conf)</t>
  </si>
  <si>
    <t>t_alfa/2</t>
  </si>
  <si>
    <t>graus de liberdade</t>
  </si>
  <si>
    <t>limite superior (95%) cm</t>
  </si>
  <si>
    <t>Formula do excel</t>
  </si>
  <si>
    <t>Formula ao lado</t>
  </si>
  <si>
    <t>Numero de baterias</t>
  </si>
  <si>
    <t>limite confianca</t>
  </si>
  <si>
    <t>Intervalo para media</t>
  </si>
  <si>
    <t>limite inferior (meses)</t>
  </si>
  <si>
    <t>limite superior (meses)</t>
  </si>
  <si>
    <t>media (meses)</t>
  </si>
  <si>
    <t>desvio padrao (meses)</t>
  </si>
  <si>
    <t>chi^2_alfa/2</t>
  </si>
  <si>
    <t>chi^2_1-alfa/2</t>
  </si>
  <si>
    <t>Intervalo para desvio</t>
  </si>
  <si>
    <t>Intervalo para varianca</t>
  </si>
  <si>
    <t>corpo de prova</t>
  </si>
  <si>
    <t>resistencia (lb)</t>
  </si>
  <si>
    <t>Varianca</t>
  </si>
  <si>
    <t>media (lb)</t>
  </si>
  <si>
    <t>desvio padrao (lb)</t>
  </si>
  <si>
    <t>limite superior (lb)</t>
  </si>
  <si>
    <t>limite inferior (lb)</t>
  </si>
  <si>
    <t>limite confianca para media</t>
  </si>
  <si>
    <t>limite confianca para desvio</t>
  </si>
  <si>
    <t>alfa para media</t>
  </si>
  <si>
    <t>alfa para desvio</t>
  </si>
  <si>
    <t>Numero de cp</t>
  </si>
  <si>
    <t>Valor de resistência onde 5% rompem (quantil de 5%)</t>
  </si>
  <si>
    <t>Z_0.05</t>
  </si>
  <si>
    <t>x_0.05 (lb)</t>
  </si>
  <si>
    <t>equipamentos</t>
  </si>
  <si>
    <t>t_i(horas)</t>
  </si>
  <si>
    <t>Para calcular ALFA fazer y=0.632=1.3*LN(ALFA)-3.4883</t>
  </si>
  <si>
    <t>Exponential</t>
  </si>
  <si>
    <t>Tempo total</t>
  </si>
  <si>
    <t>Tempo total (meses)</t>
  </si>
  <si>
    <t>numero de falhas</t>
  </si>
  <si>
    <t>lambda</t>
  </si>
  <si>
    <t>R(t=12 meses)</t>
  </si>
  <si>
    <t>graus de liberade</t>
  </si>
  <si>
    <t>alfa/2</t>
  </si>
  <si>
    <t>1-alfa/2</t>
  </si>
  <si>
    <t>lambda_inf</t>
  </si>
  <si>
    <t>lambda_sup</t>
  </si>
  <si>
    <t>lambda_inf (1/mes)</t>
  </si>
  <si>
    <t>lambda_sup (1/mes)</t>
  </si>
  <si>
    <t>lambda (1/mes)</t>
  </si>
  <si>
    <t>probalidade de falha</t>
  </si>
  <si>
    <t>Z_0.03</t>
  </si>
  <si>
    <t>Media</t>
  </si>
  <si>
    <t>desvio</t>
  </si>
  <si>
    <t>Media (anos)</t>
  </si>
  <si>
    <t>desvio (anos)</t>
  </si>
  <si>
    <t>T (direto)</t>
  </si>
  <si>
    <t>T (anos)</t>
  </si>
  <si>
    <t>media (cm)</t>
  </si>
  <si>
    <t>desvio (mm)</t>
  </si>
  <si>
    <t>cp</t>
  </si>
  <si>
    <t>diam (mm)</t>
  </si>
  <si>
    <t>media (mm)</t>
  </si>
  <si>
    <t>Confianca</t>
  </si>
  <si>
    <t>limite_inf</t>
  </si>
  <si>
    <t>media CP (mm)</t>
  </si>
  <si>
    <t>varianca</t>
  </si>
  <si>
    <t>desvio CP (mm)</t>
  </si>
  <si>
    <t>limite_sup</t>
  </si>
  <si>
    <t>z</t>
  </si>
  <si>
    <t>Z_0.95</t>
  </si>
  <si>
    <t xml:space="preserve">assume dist exponencial </t>
  </si>
  <si>
    <t>n</t>
  </si>
  <si>
    <t>chi^2alfa/2</t>
  </si>
  <si>
    <t>R(n)</t>
  </si>
  <si>
    <t>24 rele x 5h</t>
  </si>
  <si>
    <t>25 rele x 15 h</t>
  </si>
  <si>
    <t>falha</t>
  </si>
  <si>
    <t>confianca</t>
  </si>
  <si>
    <t>Graus lib</t>
  </si>
  <si>
    <t>R_inf(lambda_inf 25 h)</t>
  </si>
  <si>
    <t>R_inf(lambda_sup 25 h)</t>
  </si>
  <si>
    <t>MTTF_inf</t>
  </si>
  <si>
    <t>MTTF_sup</t>
  </si>
  <si>
    <t>MTTF (h)</t>
  </si>
  <si>
    <t>p</t>
  </si>
  <si>
    <t>p_inf</t>
  </si>
  <si>
    <t>Graus de liberdade para inferior f1</t>
  </si>
  <si>
    <t>Graus de liberdade para inferior f2</t>
  </si>
  <si>
    <t>falhas x</t>
  </si>
  <si>
    <t>ativacoes n</t>
  </si>
  <si>
    <t>Graus de liberdade para sup f1</t>
  </si>
  <si>
    <t>Graus de liberdade para sup f2</t>
  </si>
  <si>
    <t>F_inf</t>
  </si>
  <si>
    <t>F_sup</t>
  </si>
  <si>
    <t>p_sup</t>
  </si>
  <si>
    <t>GL</t>
  </si>
  <si>
    <t>inf</t>
  </si>
  <si>
    <t>sup</t>
  </si>
  <si>
    <t>Desvio</t>
  </si>
  <si>
    <t>Erro 95</t>
  </si>
  <si>
    <t>Erro 99</t>
  </si>
  <si>
    <t>mesmo desvio</t>
  </si>
  <si>
    <t>z_975</t>
  </si>
  <si>
    <t>z_995</t>
  </si>
  <si>
    <t>n1/n0</t>
  </si>
  <si>
    <t>resistencias</t>
  </si>
  <si>
    <t>Ponto estimado=MTTF=1/lambda</t>
  </si>
  <si>
    <t>lambda = n/media</t>
  </si>
  <si>
    <t>IC 99%</t>
  </si>
  <si>
    <t xml:space="preserve">dias </t>
  </si>
  <si>
    <t>Falhas</t>
  </si>
  <si>
    <t xml:space="preserve">pr </t>
  </si>
  <si>
    <t>total</t>
  </si>
  <si>
    <t>media de falhas por dia</t>
  </si>
  <si>
    <t>Dist poisson</t>
  </si>
  <si>
    <t>x</t>
  </si>
  <si>
    <t>observada</t>
  </si>
  <si>
    <t>P(x)</t>
  </si>
  <si>
    <t>Epesrada</t>
  </si>
  <si>
    <t>Chi^2</t>
  </si>
  <si>
    <t>Chi^2 Tot</t>
  </si>
  <si>
    <t>Numero intervalo k</t>
  </si>
  <si>
    <t>Numero param. M</t>
  </si>
  <si>
    <t>GL (k-1-m)</t>
  </si>
  <si>
    <t>Nivel 10%</t>
  </si>
  <si>
    <t>Distribuicao de Poisson nao reijetada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</si>
</sst>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"/>
    <numFmt numFmtId="167" formatCode="0.000E+00"/>
    <numFmt numFmtId="17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4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exemplo3.8_exp!$C$14</c:f>
              <c:strCache>
                <c:ptCount val="1"/>
                <c:pt idx="0">
                  <c:v>LN[1/R(t)]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4377471566054242"/>
                  <c:y val="-5.0462962962962961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0.0364x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0.9945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exemplo3.8_exp!$B$15:$B$23</c:f>
              <c:numCache>
                <c:formatCode>0.00</c:formatCode>
                <c:ptCount val="9"/>
                <c:pt idx="0">
                  <c:v>2.2999999999999998</c:v>
                </c:pt>
                <c:pt idx="1">
                  <c:v>4.8</c:v>
                </c:pt>
                <c:pt idx="2">
                  <c:v>8.1</c:v>
                </c:pt>
                <c:pt idx="3">
                  <c:v>11.3</c:v>
                </c:pt>
                <c:pt idx="4">
                  <c:v>17.3</c:v>
                </c:pt>
                <c:pt idx="5">
                  <c:v>22.1</c:v>
                </c:pt>
                <c:pt idx="6">
                  <c:v>31.3</c:v>
                </c:pt>
                <c:pt idx="7">
                  <c:v>45.9</c:v>
                </c:pt>
                <c:pt idx="8">
                  <c:v>78.3</c:v>
                </c:pt>
              </c:numCache>
            </c:numRef>
          </c:xVal>
          <c:yVal>
            <c:numRef>
              <c:f>exemplo3.8_exp!$C$15:$C$23</c:f>
              <c:numCache>
                <c:formatCode>0.00000</c:formatCode>
                <c:ptCount val="9"/>
                <c:pt idx="0">
                  <c:v>0</c:v>
                </c:pt>
                <c:pt idx="1">
                  <c:v>0.19319122903085847</c:v>
                </c:pt>
                <c:pt idx="2">
                  <c:v>0.33377317965204789</c:v>
                </c:pt>
                <c:pt idx="3">
                  <c:v>0.49740260343385001</c:v>
                </c:pt>
                <c:pt idx="4">
                  <c:v>0.69314718055994529</c:v>
                </c:pt>
                <c:pt idx="5">
                  <c:v>0.93676926321769571</c:v>
                </c:pt>
                <c:pt idx="6">
                  <c:v>1.2595426554807467</c:v>
                </c:pt>
                <c:pt idx="7">
                  <c:v>1.739115735742633</c:v>
                </c:pt>
                <c:pt idx="8">
                  <c:v>2.6946271807700692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0-4B6C-B461-189A8D8E6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04975"/>
        <c:axId val="1124997775"/>
      </c:scatterChart>
      <c:valAx>
        <c:axId val="11250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97775"/>
        <c:crosses val="autoZero"/>
        <c:crossBetween val="midCat"/>
      </c:valAx>
      <c:valAx>
        <c:axId val="11249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0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exemplo3.9_weib!$C$15</c:f>
              <c:strCache>
                <c:ptCount val="1"/>
                <c:pt idx="0">
                  <c:v>LN{LN[1/R(t)])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3160542432196E-2"/>
                  <c:y val="-2.81944444444444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1.7374x - 10.449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0.9921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exemplo3.9_weib!$B$16:$B$24</c:f>
              <c:numCache>
                <c:formatCode>0.00</c:formatCode>
                <c:ptCount val="9"/>
                <c:pt idx="0">
                  <c:v>4.4886363697321396</c:v>
                </c:pt>
                <c:pt idx="1">
                  <c:v>4.8828019225863706</c:v>
                </c:pt>
                <c:pt idx="2">
                  <c:v>5.3082676974012051</c:v>
                </c:pt>
                <c:pt idx="3">
                  <c:v>5.5721540321777647</c:v>
                </c:pt>
                <c:pt idx="4">
                  <c:v>5.7714411231300158</c:v>
                </c:pt>
                <c:pt idx="5">
                  <c:v>5.8916442118257715</c:v>
                </c:pt>
                <c:pt idx="6">
                  <c:v>6.0426328336823811</c:v>
                </c:pt>
                <c:pt idx="7">
                  <c:v>6.1590953884919326</c:v>
                </c:pt>
                <c:pt idx="8">
                  <c:v>6.3543700407973507</c:v>
                </c:pt>
              </c:numCache>
            </c:numRef>
          </c:xVal>
          <c:yVal>
            <c:numRef>
              <c:f>exemplo3.9_weib!$C$16:$C$24</c:f>
              <c:numCache>
                <c:formatCode>0.00000</c:formatCode>
                <c:ptCount val="9"/>
                <c:pt idx="0">
                  <c:v>-2.7659893395781205</c:v>
                </c:pt>
                <c:pt idx="1">
                  <c:v>-1.7567046753233324</c:v>
                </c:pt>
                <c:pt idx="2">
                  <c:v>-1.2179183155551694</c:v>
                </c:pt>
                <c:pt idx="3">
                  <c:v>-0.82913339244725948</c:v>
                </c:pt>
                <c:pt idx="4">
                  <c:v>-0.51073103241667106</c:v>
                </c:pt>
                <c:pt idx="5">
                  <c:v>-0.22840570391101081</c:v>
                </c:pt>
                <c:pt idx="6">
                  <c:v>3.8666152949518348E-2</c:v>
                </c:pt>
                <c:pt idx="7">
                  <c:v>0.30909869768522913</c:v>
                </c:pt>
                <c:pt idx="8">
                  <c:v>0.61072700592668949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01-4FD2-B2A4-5D9095009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74255"/>
        <c:axId val="1124967055"/>
      </c:scatterChart>
      <c:valAx>
        <c:axId val="112497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67055"/>
        <c:crosses val="autoZero"/>
        <c:crossBetween val="midCat"/>
      </c:valAx>
      <c:valAx>
        <c:axId val="11249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7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'3.10'!$F$2</c:f>
              <c:strCache>
                <c:ptCount val="1"/>
                <c:pt idx="0">
                  <c:v>R(t)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'3.10'!$B$3:$B$8</c:f>
              <c:numCache>
                <c:formatCode>General</c:formatCode>
                <c:ptCount val="6"/>
                <c:pt idx="0">
                  <c:v>0</c:v>
                </c:pt>
                <c:pt idx="1">
                  <c:v>1750</c:v>
                </c:pt>
                <c:pt idx="2">
                  <c:v>2250</c:v>
                </c:pt>
                <c:pt idx="3">
                  <c:v>2750</c:v>
                </c:pt>
                <c:pt idx="4">
                  <c:v>3250</c:v>
                </c:pt>
                <c:pt idx="5">
                  <c:v>3750</c:v>
                </c:pt>
              </c:numCache>
            </c:numRef>
          </c:xVal>
          <c:yVal>
            <c:numRef>
              <c:f>'3.10'!$F$3:$F$8</c:f>
              <c:numCache>
                <c:formatCode>0.0000</c:formatCode>
                <c:ptCount val="6"/>
                <c:pt idx="0">
                  <c:v>1</c:v>
                </c:pt>
                <c:pt idx="1">
                  <c:v>0.89240506329113922</c:v>
                </c:pt>
                <c:pt idx="2">
                  <c:v>0.55063291139240511</c:v>
                </c:pt>
                <c:pt idx="3">
                  <c:v>0.379746835443038</c:v>
                </c:pt>
                <c:pt idx="4">
                  <c:v>0.27215189873417722</c:v>
                </c:pt>
                <c:pt idx="5">
                  <c:v>0.15189873417721519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65-4584-8257-8045E293E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03823"/>
        <c:axId val="1310520623"/>
      </c:scatterChart>
      <c:valAx>
        <c:axId val="131050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0623"/>
        <c:crosses val="autoZero"/>
        <c:crossBetween val="midCat"/>
      </c:valAx>
      <c:valAx>
        <c:axId val="13105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0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'3.10'!$H$2</c:f>
              <c:strCache>
                <c:ptCount val="1"/>
                <c:pt idx="0">
                  <c:v>h(t)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'3.10'!$B$3:$B$8</c:f>
              <c:numCache>
                <c:formatCode>General</c:formatCode>
                <c:ptCount val="6"/>
                <c:pt idx="0">
                  <c:v>0</c:v>
                </c:pt>
                <c:pt idx="1">
                  <c:v>1750</c:v>
                </c:pt>
                <c:pt idx="2">
                  <c:v>2250</c:v>
                </c:pt>
                <c:pt idx="3">
                  <c:v>2750</c:v>
                </c:pt>
                <c:pt idx="4">
                  <c:v>3250</c:v>
                </c:pt>
                <c:pt idx="5">
                  <c:v>3750</c:v>
                </c:pt>
              </c:numCache>
            </c:numRef>
          </c:xVal>
          <c:yVal>
            <c:numRef>
              <c:f>'3.10'!$H$3:$H$8</c:f>
              <c:numCache>
                <c:formatCode>0.000E+00</c:formatCode>
                <c:ptCount val="6"/>
                <c:pt idx="0">
                  <c:v>6.1482820976491859E-5</c:v>
                </c:pt>
                <c:pt idx="1">
                  <c:v>7.659574468085106E-4</c:v>
                </c:pt>
                <c:pt idx="2">
                  <c:v>6.2068965517241383E-4</c:v>
                </c:pt>
                <c:pt idx="3">
                  <c:v>5.6666666666666671E-4</c:v>
                </c:pt>
                <c:pt idx="4">
                  <c:v>8.8372093023255814E-4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34-4EBD-A01A-D4C10F04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23503"/>
        <c:axId val="1310523983"/>
      </c:scatterChart>
      <c:valAx>
        <c:axId val="131052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3983"/>
        <c:crosses val="autoZero"/>
        <c:crossBetween val="midCat"/>
      </c:valAx>
      <c:valAx>
        <c:axId val="13105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 LN{LN[1/R(t)]}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'3.11'!$C$12</c:f>
              <c:strCache>
                <c:ptCount val="1"/>
                <c:pt idx="0">
                  <c:v>LN{LN[1/R(t)]}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'3.11'!$B$13:$B$18</c:f>
              <c:numCache>
                <c:formatCode>0.00000</c:formatCode>
                <c:ptCount val="6"/>
                <c:pt idx="0">
                  <c:v>3.6243409329763652</c:v>
                </c:pt>
                <c:pt idx="1">
                  <c:v>3.8286413964890951</c:v>
                </c:pt>
                <c:pt idx="2">
                  <c:v>3.8712010109078911</c:v>
                </c:pt>
                <c:pt idx="3">
                  <c:v>3.9415818076696905</c:v>
                </c:pt>
                <c:pt idx="4">
                  <c:v>3.970291913552122</c:v>
                </c:pt>
                <c:pt idx="5">
                  <c:v>3.9982007016691985</c:v>
                </c:pt>
              </c:numCache>
            </c:numRef>
          </c:xVal>
          <c:yVal>
            <c:numRef>
              <c:f>'3.11'!$C$13:$C$18</c:f>
              <c:numCache>
                <c:formatCode>General</c:formatCode>
                <c:ptCount val="6"/>
                <c:pt idx="0">
                  <c:v>-2.7659893395781205</c:v>
                </c:pt>
                <c:pt idx="1">
                  <c:v>-1.7567046753233324</c:v>
                </c:pt>
                <c:pt idx="2">
                  <c:v>-1.2179183155551694</c:v>
                </c:pt>
                <c:pt idx="3">
                  <c:v>-0.82913339244725948</c:v>
                </c:pt>
                <c:pt idx="4">
                  <c:v>-0.51073103241667106</c:v>
                </c:pt>
                <c:pt idx="5">
                  <c:v>-0.22840570391101081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F-4AEC-B837-2015163E7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86735"/>
        <c:axId val="1124979535"/>
      </c:scatterChart>
      <c:valAx>
        <c:axId val="112498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79535"/>
        <c:crosses val="autoZero"/>
        <c:crossBetween val="midCat"/>
      </c:valAx>
      <c:valAx>
        <c:axId val="11249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8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EXPONENCIAL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/>
              <a:t>LN[1/R(t)]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'3.11'!$C$21</c:f>
              <c:strCache>
                <c:ptCount val="1"/>
                <c:pt idx="0">
                  <c:v>LN[1/R(t)]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'3.11'!$B$22:$B$27</c:f>
              <c:numCache>
                <c:formatCode>General</c:formatCode>
                <c:ptCount val="6"/>
                <c:pt idx="0">
                  <c:v>37.5</c:v>
                </c:pt>
                <c:pt idx="1">
                  <c:v>46</c:v>
                </c:pt>
                <c:pt idx="2">
                  <c:v>48</c:v>
                </c:pt>
                <c:pt idx="3">
                  <c:v>51.5</c:v>
                </c:pt>
                <c:pt idx="4">
                  <c:v>53</c:v>
                </c:pt>
                <c:pt idx="5">
                  <c:v>54.5</c:v>
                </c:pt>
              </c:numCache>
            </c:numRef>
          </c:xVal>
          <c:yVal>
            <c:numRef>
              <c:f>'3.11'!$C$22:$C$27</c:f>
              <c:numCache>
                <c:formatCode>0.00000</c:formatCode>
                <c:ptCount val="6"/>
                <c:pt idx="0">
                  <c:v>3.5932009226063329E-2</c:v>
                </c:pt>
                <c:pt idx="1">
                  <c:v>-6.2913825410569391E-2</c:v>
                </c:pt>
                <c:pt idx="2">
                  <c:v>-0.1726127426669937</c:v>
                </c:pt>
                <c:pt idx="3">
                  <c:v>-0.29584538309094183</c:v>
                </c:pt>
                <c:pt idx="4">
                  <c:v>-0.43642733371213122</c:v>
                </c:pt>
                <c:pt idx="5">
                  <c:v>-0.60005675749393339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1B-4E93-A430-B375455BA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836143"/>
        <c:axId val="1592837583"/>
      </c:scatterChart>
      <c:valAx>
        <c:axId val="159283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37583"/>
        <c:crosses val="autoZero"/>
        <c:crossBetween val="midCat"/>
      </c:valAx>
      <c:valAx>
        <c:axId val="15928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3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'3.12'!$F$2</c:f>
              <c:strCache>
                <c:ptCount val="1"/>
                <c:pt idx="0">
                  <c:v>R(t)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'3.12'!$B$3:$B$8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'3.12'!$F$3:$F$8</c:f>
              <c:numCache>
                <c:formatCode>0.0000</c:formatCode>
                <c:ptCount val="6"/>
                <c:pt idx="0">
                  <c:v>1</c:v>
                </c:pt>
                <c:pt idx="1">
                  <c:v>0.6</c:v>
                </c:pt>
                <c:pt idx="2">
                  <c:v>0.32</c:v>
                </c:pt>
                <c:pt idx="3">
                  <c:v>0.2</c:v>
                </c:pt>
                <c:pt idx="4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4A-427F-B92D-BCEBE43E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03823"/>
        <c:axId val="1310520623"/>
      </c:scatterChart>
      <c:valAx>
        <c:axId val="131050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0623"/>
        <c:crosses val="autoZero"/>
        <c:crossBetween val="midCat"/>
      </c:valAx>
      <c:valAx>
        <c:axId val="13105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0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'3.12'!$H$2</c:f>
              <c:strCache>
                <c:ptCount val="1"/>
                <c:pt idx="0">
                  <c:v>h(t)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'3.12'!$B$3:$B$8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'3.12'!$H$3:$H$8</c:f>
              <c:numCache>
                <c:formatCode>0.000E+00</c:formatCode>
                <c:ptCount val="6"/>
                <c:pt idx="0">
                  <c:v>4.0000000000000001E-3</c:v>
                </c:pt>
                <c:pt idx="1">
                  <c:v>4.6666666666666671E-3</c:v>
                </c:pt>
                <c:pt idx="2">
                  <c:v>3.7499999999999999E-3</c:v>
                </c:pt>
                <c:pt idx="3">
                  <c:v>6.0000000000000001E-3</c:v>
                </c:pt>
                <c:pt idx="4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38-4FD6-817F-21BD1829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23503"/>
        <c:axId val="1310523983"/>
      </c:scatterChart>
      <c:valAx>
        <c:axId val="131052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3983"/>
        <c:crosses val="autoZero"/>
        <c:crossBetween val="midCat"/>
      </c:valAx>
      <c:valAx>
        <c:axId val="13105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 LN{LN[1/R(t)]}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'3.18'!$C$13</c:f>
              <c:strCache>
                <c:ptCount val="1"/>
                <c:pt idx="0">
                  <c:v>LN{LN[1/R(t)]}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849983477151417E-2"/>
                  <c:y val="5.262988001790819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'3.18'!$B$14:$B$19</c:f>
              <c:numCache>
                <c:formatCode>0.00000</c:formatCode>
                <c:ptCount val="6"/>
                <c:pt idx="0">
                  <c:v>0</c:v>
                </c:pt>
                <c:pt idx="1">
                  <c:v>0.69314718055994529</c:v>
                </c:pt>
                <c:pt idx="2">
                  <c:v>1.6094379124341003</c:v>
                </c:pt>
                <c:pt idx="3">
                  <c:v>2.0794415416798357</c:v>
                </c:pt>
                <c:pt idx="4">
                  <c:v>2.4849066497880004</c:v>
                </c:pt>
                <c:pt idx="5">
                  <c:v>3.2188758248682006</c:v>
                </c:pt>
              </c:numCache>
            </c:numRef>
          </c:xVal>
          <c:yVal>
            <c:numRef>
              <c:f>'3.18'!$C$14:$C$19</c:f>
              <c:numCache>
                <c:formatCode>General</c:formatCode>
                <c:ptCount val="6"/>
                <c:pt idx="0">
                  <c:v>-3.4176370915256387</c:v>
                </c:pt>
                <c:pt idx="1">
                  <c:v>-2.5856188225269481</c:v>
                </c:pt>
                <c:pt idx="2">
                  <c:v>-1.5365993402633418</c:v>
                </c:pt>
                <c:pt idx="3">
                  <c:v>-0.82495450383244051</c:v>
                </c:pt>
                <c:pt idx="4">
                  <c:v>-9.6226183012615915E-2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D5-464C-A60B-773E3477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86735"/>
        <c:axId val="1124979535"/>
      </c:scatterChart>
      <c:valAx>
        <c:axId val="112498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79535"/>
        <c:crosses val="autoZero"/>
        <c:crossBetween val="midCat"/>
      </c:valAx>
      <c:valAx>
        <c:axId val="11249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8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EXPONENCIAL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/>
              <a:t>LN[1/R(t)]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'3.18'!$C$22</c:f>
              <c:strCache>
                <c:ptCount val="1"/>
                <c:pt idx="0">
                  <c:v>LN[1/R(t)]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'3.18'!$B$23:$B$28</c:f>
              <c:numCache>
                <c:formatCode>General</c:formatCode>
                <c:ptCount val="6"/>
                <c:pt idx="0">
                  <c:v>37.5</c:v>
                </c:pt>
                <c:pt idx="1">
                  <c:v>46</c:v>
                </c:pt>
                <c:pt idx="2">
                  <c:v>48</c:v>
                </c:pt>
                <c:pt idx="3">
                  <c:v>51.5</c:v>
                </c:pt>
                <c:pt idx="4">
                  <c:v>53</c:v>
                </c:pt>
                <c:pt idx="5">
                  <c:v>54.5</c:v>
                </c:pt>
              </c:numCache>
            </c:numRef>
          </c:xVal>
          <c:yVal>
            <c:numRef>
              <c:f>'3.18'!$C$23:$C$28</c:f>
              <c:numCache>
                <c:formatCode>0.00000</c:formatCode>
                <c:ptCount val="6"/>
                <c:pt idx="0">
                  <c:v>-8.0972102326193028E-3</c:v>
                </c:pt>
                <c:pt idx="1">
                  <c:v>-3.2789822822990755E-2</c:v>
                </c:pt>
                <c:pt idx="2">
                  <c:v>-7.534943724178679E-2</c:v>
                </c:pt>
                <c:pt idx="3">
                  <c:v>-0.21511137961694549</c:v>
                </c:pt>
                <c:pt idx="4">
                  <c:v>-0.43825493093115531</c:v>
                </c:pt>
                <c:pt idx="5">
                  <c:v>-0.90825856017689077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6-4A64-A99C-313E7982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836143"/>
        <c:axId val="1592837583"/>
      </c:scatterChart>
      <c:valAx>
        <c:axId val="159283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37583"/>
        <c:crosses val="autoZero"/>
        <c:crossBetween val="midCat"/>
      </c:valAx>
      <c:valAx>
        <c:axId val="15928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3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5.png"/><Relationship Id="rId1" Type="http://schemas.openxmlformats.org/officeDocument/2006/relationships/image" Target="../media/image11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3.png"/><Relationship Id="rId1" Type="http://schemas.openxmlformats.org/officeDocument/2006/relationships/image" Target="../media/image2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198120</xdr:colOff>
      <xdr:row>1</xdr:row>
      <xdr:rowOff>0</xdr:rowOff>
    </xdr:from>
    <xdr:to>
      <xdr:col>18</xdr:col>
      <xdr:colOff>161254</xdr:colOff>
      <xdr:row>17</xdr:row>
      <xdr:rowOff>48895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4C0AA-4C3A-3453-4C23-2AF726E00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6080" y="182880"/>
          <a:ext cx="7887934" cy="2974975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91440</xdr:rowOff>
    </xdr:from>
    <xdr:to>
      <xdr:col>8</xdr:col>
      <xdr:colOff>434340</xdr:colOff>
      <xdr:row>12</xdr:row>
      <xdr:rowOff>15240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79B90DA-CCA7-173B-3456-40F818383E9D}"/>
            </a:ext>
          </a:extLst>
        </xdr:cNvPr>
        <xdr:cNvCxnSpPr/>
      </xdr:nvCxnSpPr>
      <xdr:spPr>
        <a:xfrm>
          <a:off x="4076700" y="1371600"/>
          <a:ext cx="4724400" cy="1021080"/>
        </a:xfrm>
        <a:prstGeom prst="straightConnector1">
          <a:avLst/>
        </a:prstGeom>
        <a:ln>
          <a:solidFill>
            <a:srgbClr val="FF0000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270933</xdr:colOff>
      <xdr:row>0</xdr:row>
      <xdr:rowOff>0</xdr:rowOff>
    </xdr:from>
    <xdr:to>
      <xdr:col>19</xdr:col>
      <xdr:colOff>172229</xdr:colOff>
      <xdr:row>17</xdr:row>
      <xdr:rowOff>161732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101709-39CD-2550-A57C-3DA333B50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1533" y="0"/>
          <a:ext cx="4363229" cy="3328265"/>
        </a:xfrm>
        <a:prstGeom prst="rect">
          <a:avLst/>
        </a:prstGeom>
      </xdr:spPr>
    </xdr:pic>
    <xdr:clientData/>
  </xdr:twoCellAnchor>
  <xdr:twoCellAnchor>
    <xdr:from>
      <xdr:col>4</xdr:col>
      <xdr:colOff>279400</xdr:colOff>
      <xdr:row>0</xdr:row>
      <xdr:rowOff>0</xdr:rowOff>
    </xdr:from>
    <xdr:to>
      <xdr:col>10</xdr:col>
      <xdr:colOff>321733</xdr:colOff>
      <xdr:row>14</xdr:row>
      <xdr:rowOff>135467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C4CBA1-5E7A-3280-FE1F-8EA1F615E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0</xdr:row>
      <xdr:rowOff>0</xdr:rowOff>
    </xdr:from>
    <xdr:to>
      <xdr:col>21</xdr:col>
      <xdr:colOff>250126</xdr:colOff>
      <xdr:row>8</xdr:row>
      <xdr:rowOff>43243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6143CA-0AD0-3952-9A25-17EEF77C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6200" y="0"/>
          <a:ext cx="6845660" cy="1533376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0</xdr:row>
      <xdr:rowOff>84667</xdr:rowOff>
    </xdr:from>
    <xdr:to>
      <xdr:col>10</xdr:col>
      <xdr:colOff>270933</xdr:colOff>
      <xdr:row>15</xdr:row>
      <xdr:rowOff>33867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09627F-6988-ACAB-AE51-EE99D718F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410330</xdr:colOff>
      <xdr:row>0</xdr:row>
      <xdr:rowOff>114300</xdr:rowOff>
    </xdr:from>
    <xdr:to>
      <xdr:col>13</xdr:col>
      <xdr:colOff>189712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A2F8A-15C4-DE8F-F279-66D7A4336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5210" y="114300"/>
          <a:ext cx="1608182" cy="731520"/>
        </a:xfrm>
        <a:prstGeom prst="rect">
          <a:avLst/>
        </a:prstGeom>
      </xdr:spPr>
    </xdr:pic>
    <xdr:clientData/>
  </xdr:twoCellAnchor>
  <xdr:twoCellAnchor editAs="oneCell">
    <xdr:from>
      <xdr:col>13</xdr:col>
      <xdr:colOff>213360</xdr:colOff>
      <xdr:row>1</xdr:row>
      <xdr:rowOff>57042</xdr:rowOff>
    </xdr:from>
    <xdr:to>
      <xdr:col>15</xdr:col>
      <xdr:colOff>340420</xdr:colOff>
      <xdr:row>3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04CE52-E235-3ECE-322A-CF4DC23F8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7040" y="239922"/>
          <a:ext cx="1346260" cy="468738"/>
        </a:xfrm>
        <a:prstGeom prst="rect">
          <a:avLst/>
        </a:prstGeom>
      </xdr:spPr>
    </xdr:pic>
    <xdr:clientData/>
  </xdr:twoCellAnchor>
  <xdr:twoCellAnchor editAs="oneCell">
    <xdr:from>
      <xdr:col>15</xdr:col>
      <xdr:colOff>274320</xdr:colOff>
      <xdr:row>1</xdr:row>
      <xdr:rowOff>16574</xdr:rowOff>
    </xdr:from>
    <xdr:to>
      <xdr:col>17</xdr:col>
      <xdr:colOff>299427</xdr:colOff>
      <xdr:row>3</xdr:row>
      <xdr:rowOff>101089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0930C6-7C56-EB25-02AE-82F6896FE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199454"/>
          <a:ext cx="1244307" cy="450275"/>
        </a:xfrm>
        <a:prstGeom prst="rect">
          <a:avLst/>
        </a:prstGeom>
      </xdr:spPr>
    </xdr:pic>
    <xdr:clientData/>
  </xdr:twoCellAnchor>
  <xdr:twoCellAnchor>
    <xdr:from>
      <xdr:col>0</xdr:col>
      <xdr:colOff>883920</xdr:colOff>
      <xdr:row>9</xdr:row>
      <xdr:rowOff>129540</xdr:rowOff>
    </xdr:from>
    <xdr:to>
      <xdr:col>4</xdr:col>
      <xdr:colOff>129540</xdr:colOff>
      <xdr:row>22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3FD955-E159-1570-B730-168219B16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137160</xdr:colOff>
      <xdr:row>9</xdr:row>
      <xdr:rowOff>121920</xdr:rowOff>
    </xdr:from>
    <xdr:to>
      <xdr:col>9</xdr:col>
      <xdr:colOff>297180</xdr:colOff>
      <xdr:row>21</xdr:row>
      <xdr:rowOff>156210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08FC35-9B4A-16B9-707D-BB26CBC1B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198120</xdr:colOff>
      <xdr:row>5</xdr:row>
      <xdr:rowOff>36636</xdr:rowOff>
    </xdr:from>
    <xdr:to>
      <xdr:col>15</xdr:col>
      <xdr:colOff>574007</xdr:colOff>
      <xdr:row>17</xdr:row>
      <xdr:rowOff>177575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9C4840-F0DD-9554-368B-234F7EA7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0080" y="1133916"/>
          <a:ext cx="3423887" cy="2335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541867</xdr:colOff>
      <xdr:row>0</xdr:row>
      <xdr:rowOff>8467</xdr:rowOff>
    </xdr:from>
    <xdr:to>
      <xdr:col>10</xdr:col>
      <xdr:colOff>584200</xdr:colOff>
      <xdr:row>14</xdr:row>
      <xdr:rowOff>143934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FEC686E-310B-31E8-5D94-1F0144CF6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541867</xdr:colOff>
      <xdr:row>14</xdr:row>
      <xdr:rowOff>160867</xdr:rowOff>
    </xdr:from>
    <xdr:to>
      <xdr:col>10</xdr:col>
      <xdr:colOff>584200</xdr:colOff>
      <xdr:row>29</xdr:row>
      <xdr:rowOff>110067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1683FE6-801E-5095-FFA2-34705C606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410330</xdr:colOff>
      <xdr:row>0</xdr:row>
      <xdr:rowOff>114300</xdr:rowOff>
    </xdr:from>
    <xdr:to>
      <xdr:col>13</xdr:col>
      <xdr:colOff>189712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2582D-5DBC-47BD-A949-DFE1943A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2290" y="114300"/>
          <a:ext cx="1608182" cy="731520"/>
        </a:xfrm>
        <a:prstGeom prst="rect">
          <a:avLst/>
        </a:prstGeom>
      </xdr:spPr>
    </xdr:pic>
    <xdr:clientData/>
  </xdr:twoCellAnchor>
  <xdr:twoCellAnchor editAs="oneCell">
    <xdr:from>
      <xdr:col>13</xdr:col>
      <xdr:colOff>213360</xdr:colOff>
      <xdr:row>1</xdr:row>
      <xdr:rowOff>57042</xdr:rowOff>
    </xdr:from>
    <xdr:to>
      <xdr:col>15</xdr:col>
      <xdr:colOff>340420</xdr:colOff>
      <xdr:row>3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42611D-4BA8-47A8-AF08-3DA76E05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04120" y="422802"/>
          <a:ext cx="1346260" cy="468738"/>
        </a:xfrm>
        <a:prstGeom prst="rect">
          <a:avLst/>
        </a:prstGeom>
      </xdr:spPr>
    </xdr:pic>
    <xdr:clientData/>
  </xdr:twoCellAnchor>
  <xdr:twoCellAnchor editAs="oneCell">
    <xdr:from>
      <xdr:col>15</xdr:col>
      <xdr:colOff>274320</xdr:colOff>
      <xdr:row>1</xdr:row>
      <xdr:rowOff>16574</xdr:rowOff>
    </xdr:from>
    <xdr:to>
      <xdr:col>17</xdr:col>
      <xdr:colOff>299427</xdr:colOff>
      <xdr:row>3</xdr:row>
      <xdr:rowOff>101089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F4C344-5314-4777-A5C2-F7B522D31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84280" y="382334"/>
          <a:ext cx="1244307" cy="4502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175260</xdr:rowOff>
    </xdr:from>
    <xdr:to>
      <xdr:col>3</xdr:col>
      <xdr:colOff>213360</xdr:colOff>
      <xdr:row>21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B19245-D230-46F1-BD44-8CFB736F9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236220</xdr:colOff>
      <xdr:row>8</xdr:row>
      <xdr:rowOff>175260</xdr:rowOff>
    </xdr:from>
    <xdr:to>
      <xdr:col>8</xdr:col>
      <xdr:colOff>38100</xdr:colOff>
      <xdr:row>21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041E6B-8135-413C-A37D-41B519B38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472440</xdr:colOff>
      <xdr:row>4</xdr:row>
      <xdr:rowOff>160436</xdr:rowOff>
    </xdr:from>
    <xdr:to>
      <xdr:col>18</xdr:col>
      <xdr:colOff>362729</xdr:colOff>
      <xdr:row>14</xdr:row>
      <xdr:rowOff>133688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F27098-CDC0-E549-43D4-A6CA5DF88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1074836"/>
          <a:ext cx="4157489" cy="18020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175260</xdr:colOff>
      <xdr:row>0</xdr:row>
      <xdr:rowOff>0</xdr:rowOff>
    </xdr:from>
    <xdr:to>
      <xdr:col>21</xdr:col>
      <xdr:colOff>107866</xdr:colOff>
      <xdr:row>10</xdr:row>
      <xdr:rowOff>127388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AE45E-EDBA-7E64-6F2F-29089F5B1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0"/>
          <a:ext cx="5419006" cy="1956188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9</xdr:row>
      <xdr:rowOff>181006</xdr:rowOff>
    </xdr:from>
    <xdr:to>
      <xdr:col>18</xdr:col>
      <xdr:colOff>123218</xdr:colOff>
      <xdr:row>20</xdr:row>
      <xdr:rowOff>132159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19299-3872-62B1-95C5-E500DA1CE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3580" y="2009806"/>
          <a:ext cx="3567458" cy="19628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175260</xdr:colOff>
      <xdr:row>0</xdr:row>
      <xdr:rowOff>0</xdr:rowOff>
    </xdr:from>
    <xdr:to>
      <xdr:col>21</xdr:col>
      <xdr:colOff>107866</xdr:colOff>
      <xdr:row>10</xdr:row>
      <xdr:rowOff>127388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B5B70-8C39-4DEE-BF47-1D2DDD55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5480" y="0"/>
          <a:ext cx="5419006" cy="1956188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13</xdr:row>
      <xdr:rowOff>104806</xdr:rowOff>
    </xdr:from>
    <xdr:to>
      <xdr:col>18</xdr:col>
      <xdr:colOff>100358</xdr:colOff>
      <xdr:row>24</xdr:row>
      <xdr:rowOff>55959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0C0C7-5F69-44A8-950F-5A06694D2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0720" y="1933606"/>
          <a:ext cx="3567458" cy="19628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335280</xdr:colOff>
      <xdr:row>0</xdr:row>
      <xdr:rowOff>7620</xdr:rowOff>
    </xdr:from>
    <xdr:to>
      <xdr:col>22</xdr:col>
      <xdr:colOff>405844</xdr:colOff>
      <xdr:row>15</xdr:row>
      <xdr:rowOff>120711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81AD1-7CBF-E90A-7C72-3A5610CF3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0440" y="7620"/>
          <a:ext cx="7385764" cy="2856291"/>
        </a:xfrm>
        <a:prstGeom prst="rect">
          <a:avLst/>
        </a:prstGeom>
      </xdr:spPr>
    </xdr:pic>
    <xdr:clientData/>
  </xdr:twoCellAnchor>
  <xdr:twoCellAnchor>
    <xdr:from>
      <xdr:col>3</xdr:col>
      <xdr:colOff>358140</xdr:colOff>
      <xdr:row>7</xdr:row>
      <xdr:rowOff>99060</xdr:rowOff>
    </xdr:from>
    <xdr:to>
      <xdr:col>20</xdr:col>
      <xdr:colOff>7620</xdr:colOff>
      <xdr:row>10</xdr:row>
      <xdr:rowOff>83820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C3F1712-4480-3B7E-ACD9-77E002BDE91D}"/>
            </a:ext>
          </a:extLst>
        </xdr:cNvPr>
        <xdr:cNvCxnSpPr/>
      </xdr:nvCxnSpPr>
      <xdr:spPr>
        <a:xfrm>
          <a:off x="3086100" y="1196340"/>
          <a:ext cx="10012680" cy="53340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335280</xdr:colOff>
      <xdr:row>0</xdr:row>
      <xdr:rowOff>7620</xdr:rowOff>
    </xdr:from>
    <xdr:to>
      <xdr:col>22</xdr:col>
      <xdr:colOff>405844</xdr:colOff>
      <xdr:row>15</xdr:row>
      <xdr:rowOff>120711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A338D-A9E7-4F4F-8C1C-5E857227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0440" y="7620"/>
          <a:ext cx="7385764" cy="2856291"/>
        </a:xfrm>
        <a:prstGeom prst="rect">
          <a:avLst/>
        </a:prstGeom>
      </xdr:spPr>
    </xdr:pic>
    <xdr:clientData/>
  </xdr:twoCellAnchor>
  <xdr:twoCellAnchor>
    <xdr:from>
      <xdr:col>3</xdr:col>
      <xdr:colOff>358140</xdr:colOff>
      <xdr:row>10</xdr:row>
      <xdr:rowOff>30480</xdr:rowOff>
    </xdr:from>
    <xdr:to>
      <xdr:col>16</xdr:col>
      <xdr:colOff>403860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8FBF7A2-663B-4319-A7D2-DC836D068F89}"/>
            </a:ext>
          </a:extLst>
        </xdr:cNvPr>
        <xdr:cNvCxnSpPr/>
      </xdr:nvCxnSpPr>
      <xdr:spPr>
        <a:xfrm flipV="1">
          <a:off x="3086100" y="1859280"/>
          <a:ext cx="7970520" cy="6858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480060</xdr:colOff>
      <xdr:row>13</xdr:row>
      <xdr:rowOff>106680</xdr:rowOff>
    </xdr:from>
    <xdr:to>
      <xdr:col>16</xdr:col>
      <xdr:colOff>525780</xdr:colOff>
      <xdr:row>13</xdr:row>
      <xdr:rowOff>175260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35B5DAA-744B-49FD-B4D5-91A9582BF275}"/>
            </a:ext>
          </a:extLst>
        </xdr:cNvPr>
        <xdr:cNvCxnSpPr/>
      </xdr:nvCxnSpPr>
      <xdr:spPr>
        <a:xfrm flipV="1">
          <a:off x="3208020" y="2484120"/>
          <a:ext cx="7970520" cy="6858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5</xdr:row>
      <xdr:rowOff>30480</xdr:rowOff>
    </xdr:from>
    <xdr:to>
      <xdr:col>6</xdr:col>
      <xdr:colOff>438381</xdr:colOff>
      <xdr:row>6</xdr:row>
      <xdr:rowOff>123864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89C35B-8E47-D46E-11BA-E659635A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7560" y="944880"/>
          <a:ext cx="1657581" cy="276264"/>
        </a:xfrm>
        <a:prstGeom prst="rect">
          <a:avLst/>
        </a:prstGeom>
      </xdr:spPr>
    </xdr:pic>
    <xdr:clientData/>
  </xdr:twoCellAnchor>
  <xdr:twoCellAnchor editAs="oneCell">
    <xdr:from>
      <xdr:col>3</xdr:col>
      <xdr:colOff>601980</xdr:colOff>
      <xdr:row>6</xdr:row>
      <xdr:rowOff>76200</xdr:rowOff>
    </xdr:from>
    <xdr:to>
      <xdr:col>7</xdr:col>
      <xdr:colOff>68846</xdr:colOff>
      <xdr:row>7</xdr:row>
      <xdr:rowOff>160057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DEA683-886E-2689-6AAC-FD43D4A80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9940" y="1173480"/>
          <a:ext cx="1905266" cy="266737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7</xdr:row>
      <xdr:rowOff>152400</xdr:rowOff>
    </xdr:from>
    <xdr:to>
      <xdr:col>7</xdr:col>
      <xdr:colOff>381319</xdr:colOff>
      <xdr:row>8</xdr:row>
      <xdr:rowOff>169573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41A743-D0FB-4008-926E-CAA7582E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1360" y="1432560"/>
          <a:ext cx="2286319" cy="2000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335280</xdr:colOff>
      <xdr:row>0</xdr:row>
      <xdr:rowOff>7620</xdr:rowOff>
    </xdr:from>
    <xdr:to>
      <xdr:col>22</xdr:col>
      <xdr:colOff>405844</xdr:colOff>
      <xdr:row>15</xdr:row>
      <xdr:rowOff>120711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4FAA7-5132-4244-864F-E5D6DEA4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0440" y="7620"/>
          <a:ext cx="7385764" cy="2856291"/>
        </a:xfrm>
        <a:prstGeom prst="rect">
          <a:avLst/>
        </a:prstGeom>
      </xdr:spPr>
    </xdr:pic>
    <xdr:clientData/>
  </xdr:twoCellAnchor>
  <xdr:twoCellAnchor>
    <xdr:from>
      <xdr:col>3</xdr:col>
      <xdr:colOff>358140</xdr:colOff>
      <xdr:row>12</xdr:row>
      <xdr:rowOff>30480</xdr:rowOff>
    </xdr:from>
    <xdr:to>
      <xdr:col>16</xdr:col>
      <xdr:colOff>403860</xdr:colOff>
      <xdr:row>12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C0B05DE-1CF1-4DBC-AAA8-CE7A8B0A32AC}"/>
            </a:ext>
          </a:extLst>
        </xdr:cNvPr>
        <xdr:cNvCxnSpPr/>
      </xdr:nvCxnSpPr>
      <xdr:spPr>
        <a:xfrm flipV="1">
          <a:off x="3086100" y="1859280"/>
          <a:ext cx="7970520" cy="6858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502920</xdr:colOff>
      <xdr:row>21</xdr:row>
      <xdr:rowOff>83820</xdr:rowOff>
    </xdr:from>
    <xdr:to>
      <xdr:col>11</xdr:col>
      <xdr:colOff>38100</xdr:colOff>
      <xdr:row>23</xdr:row>
      <xdr:rowOff>53340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0B2BE8-4A09-4C84-B62E-DB3FE46E8925}"/>
            </a:ext>
          </a:extLst>
        </xdr:cNvPr>
        <xdr:cNvCxnSpPr/>
      </xdr:nvCxnSpPr>
      <xdr:spPr>
        <a:xfrm flipV="1">
          <a:off x="3512820" y="3924300"/>
          <a:ext cx="5151120" cy="33528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7620</xdr:colOff>
      <xdr:row>20</xdr:row>
      <xdr:rowOff>15240</xdr:rowOff>
    </xdr:from>
    <xdr:to>
      <xdr:col>14</xdr:col>
      <xdr:colOff>207928</xdr:colOff>
      <xdr:row>22</xdr:row>
      <xdr:rowOff>87691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C80769-469D-A4CA-FAD6-09508555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3460" y="3672840"/>
          <a:ext cx="2029108" cy="438211"/>
        </a:xfrm>
        <a:prstGeom prst="rect">
          <a:avLst/>
        </a:prstGeom>
      </xdr:spPr>
    </xdr:pic>
    <xdr:clientData/>
  </xdr:twoCellAnchor>
  <xdr:twoCellAnchor>
    <xdr:from>
      <xdr:col>3</xdr:col>
      <xdr:colOff>198120</xdr:colOff>
      <xdr:row>13</xdr:row>
      <xdr:rowOff>106680</xdr:rowOff>
    </xdr:from>
    <xdr:to>
      <xdr:col>16</xdr:col>
      <xdr:colOff>243840</xdr:colOff>
      <xdr:row>13</xdr:row>
      <xdr:rowOff>175260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04D10C1-CD4A-4AA7-A02F-5870C2D296EE}"/>
            </a:ext>
          </a:extLst>
        </xdr:cNvPr>
        <xdr:cNvCxnSpPr/>
      </xdr:nvCxnSpPr>
      <xdr:spPr>
        <a:xfrm flipV="1">
          <a:off x="3208020" y="2484120"/>
          <a:ext cx="8709660" cy="6858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590781</xdr:colOff>
      <xdr:row>9</xdr:row>
      <xdr:rowOff>93384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4E4155-B6AB-4A92-995D-38306171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9100" y="1463040"/>
          <a:ext cx="1657581" cy="27626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9</xdr:row>
      <xdr:rowOff>22860</xdr:rowOff>
    </xdr:from>
    <xdr:to>
      <xdr:col>6</xdr:col>
      <xdr:colOff>876566</xdr:colOff>
      <xdr:row>10</xdr:row>
      <xdr:rowOff>106717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F445C5-6EBB-404E-B30B-F45925EE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1668780"/>
          <a:ext cx="1905266" cy="266737"/>
        </a:xfrm>
        <a:prstGeom prst="rect">
          <a:avLst/>
        </a:prstGeom>
      </xdr:spPr>
    </xdr:pic>
    <xdr:clientData/>
  </xdr:twoCellAnchor>
  <xdr:twoCellAnchor editAs="oneCell">
    <xdr:from>
      <xdr:col>4</xdr:col>
      <xdr:colOff>541020</xdr:colOff>
      <xdr:row>10</xdr:row>
      <xdr:rowOff>68580</xdr:rowOff>
    </xdr:from>
    <xdr:to>
      <xdr:col>7</xdr:col>
      <xdr:colOff>259399</xdr:colOff>
      <xdr:row>11</xdr:row>
      <xdr:rowOff>85753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3D6205-5169-B10F-0480-315F3B27A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60520" y="1897380"/>
          <a:ext cx="2286319" cy="2000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476551</xdr:colOff>
      <xdr:row>0</xdr:row>
      <xdr:rowOff>30238</xdr:rowOff>
    </xdr:from>
    <xdr:to>
      <xdr:col>14</xdr:col>
      <xdr:colOff>159656</xdr:colOff>
      <xdr:row>15</xdr:row>
      <xdr:rowOff>165705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CD64C-18D8-4128-8294-5D7263677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467027</xdr:colOff>
      <xdr:row>16</xdr:row>
      <xdr:rowOff>125488</xdr:rowOff>
    </xdr:from>
    <xdr:to>
      <xdr:col>14</xdr:col>
      <xdr:colOff>150132</xdr:colOff>
      <xdr:row>31</xdr:row>
      <xdr:rowOff>74688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AB171A-F41C-4D75-9E7A-1A82F4128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295274</xdr:colOff>
      <xdr:row>0</xdr:row>
      <xdr:rowOff>123825</xdr:rowOff>
    </xdr:from>
    <xdr:to>
      <xdr:col>21</xdr:col>
      <xdr:colOff>161925</xdr:colOff>
      <xdr:row>3</xdr:row>
      <xdr:rowOff>180493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11263-AF64-9778-0493-F3C0508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399" y="123825"/>
          <a:ext cx="4381501" cy="59959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18</xdr:col>
      <xdr:colOff>388982</xdr:colOff>
      <xdr:row>10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07999A-4712-4012-9E13-93C508BD3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96725" y="1085850"/>
          <a:ext cx="1608182" cy="7315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0</xdr:row>
      <xdr:rowOff>30481</xdr:rowOff>
    </xdr:from>
    <xdr:to>
      <xdr:col>10</xdr:col>
      <xdr:colOff>597484</xdr:colOff>
      <xdr:row>1</xdr:row>
      <xdr:rowOff>8705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5CFC8-15A9-BBB4-AE0F-F62D1FE7C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2660" y="30481"/>
          <a:ext cx="5276164" cy="161104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7</xdr:row>
      <xdr:rowOff>171917</xdr:rowOff>
    </xdr:from>
    <xdr:to>
      <xdr:col>6</xdr:col>
      <xdr:colOff>507163</xdr:colOff>
      <xdr:row>12</xdr:row>
      <xdr:rowOff>108719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3444F-5B3D-05A0-FF7B-598B7EF0A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2660" y="1452077"/>
          <a:ext cx="2747443" cy="8512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30481</xdr:colOff>
      <xdr:row>4</xdr:row>
      <xdr:rowOff>106680</xdr:rowOff>
    </xdr:from>
    <xdr:to>
      <xdr:col>10</xdr:col>
      <xdr:colOff>529391</xdr:colOff>
      <xdr:row>6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0422D-D685-6A74-518D-1FD181D1A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5041" y="838200"/>
          <a:ext cx="4827070" cy="388620"/>
        </a:xfrm>
        <a:prstGeom prst="rect">
          <a:avLst/>
        </a:prstGeom>
      </xdr:spPr>
    </xdr:pic>
    <xdr:clientData/>
  </xdr:twoCellAnchor>
  <xdr:twoCellAnchor editAs="oneCell">
    <xdr:from>
      <xdr:col>2</xdr:col>
      <xdr:colOff>39073</xdr:colOff>
      <xdr:row>9</xdr:row>
      <xdr:rowOff>167640</xdr:rowOff>
    </xdr:from>
    <xdr:to>
      <xdr:col>3</xdr:col>
      <xdr:colOff>577985</xdr:colOff>
      <xdr:row>13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215011-7D30-6646-8D4F-44A02D43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4033" y="1813560"/>
          <a:ext cx="1148512" cy="70104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0</xdr:row>
      <xdr:rowOff>91441</xdr:rowOff>
    </xdr:from>
    <xdr:to>
      <xdr:col>22</xdr:col>
      <xdr:colOff>162004</xdr:colOff>
      <xdr:row>14</xdr:row>
      <xdr:rowOff>128087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BBF1F3-89D1-4BA2-84A2-71020C7F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4720" y="91441"/>
          <a:ext cx="6715204" cy="259696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</xdr:colOff>
      <xdr:row>4</xdr:row>
      <xdr:rowOff>166946</xdr:rowOff>
    </xdr:from>
    <xdr:to>
      <xdr:col>7</xdr:col>
      <xdr:colOff>150861</xdr:colOff>
      <xdr:row>8</xdr:row>
      <xdr:rowOff>83947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648CCB-6A8D-A083-1D9F-31AC46FF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7060" y="898466"/>
          <a:ext cx="1857741" cy="64852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</xdr:row>
      <xdr:rowOff>30481</xdr:rowOff>
    </xdr:from>
    <xdr:to>
      <xdr:col>7</xdr:col>
      <xdr:colOff>125483</xdr:colOff>
      <xdr:row>3</xdr:row>
      <xdr:rowOff>175261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E8FD38-1AC4-437E-F7C4-E7649C77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3240" y="213361"/>
          <a:ext cx="1916183" cy="51054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100242</xdr:rowOff>
    </xdr:from>
    <xdr:to>
      <xdr:col>12</xdr:col>
      <xdr:colOff>266700</xdr:colOff>
      <xdr:row>4</xdr:row>
      <xdr:rowOff>24820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30999-EF5B-1A1A-E974-67D248B5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3540" y="466002"/>
          <a:ext cx="2705100" cy="2903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24384</xdr:rowOff>
    </xdr:from>
    <xdr:to>
      <xdr:col>0</xdr:col>
      <xdr:colOff>434340</xdr:colOff>
      <xdr:row>11</xdr:row>
      <xdr:rowOff>110338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664FF-E17A-5DFF-F724-45B780375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0304"/>
          <a:ext cx="434340" cy="451714"/>
        </a:xfrm>
        <a:prstGeom prst="rect">
          <a:avLst/>
        </a:prstGeom>
      </xdr:spPr>
    </xdr:pic>
    <xdr:clientData/>
  </xdr:twoCellAnchor>
  <xdr:twoCellAnchor editAs="oneCell">
    <xdr:from>
      <xdr:col>2</xdr:col>
      <xdr:colOff>541020</xdr:colOff>
      <xdr:row>9</xdr:row>
      <xdr:rowOff>38100</xdr:rowOff>
    </xdr:from>
    <xdr:to>
      <xdr:col>7</xdr:col>
      <xdr:colOff>198120</xdr:colOff>
      <xdr:row>10</xdr:row>
      <xdr:rowOff>145558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28BFA4-6270-4D45-B39C-91743A9D1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100" y="1501140"/>
          <a:ext cx="2705100" cy="29033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12</xdr:row>
      <xdr:rowOff>26286</xdr:rowOff>
    </xdr:from>
    <xdr:to>
      <xdr:col>5</xdr:col>
      <xdr:colOff>4153</xdr:colOff>
      <xdr:row>15</xdr:row>
      <xdr:rowOff>15341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7DCDAA-71CE-1E52-06A9-53C95E4C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0700" y="2220846"/>
          <a:ext cx="1825333" cy="53769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1516380</xdr:colOff>
      <xdr:row>2</xdr:row>
      <xdr:rowOff>116725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D27B3-B700-5770-75DF-E701BC858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516380" cy="482484"/>
        </a:xfrm>
        <a:prstGeom prst="rect">
          <a:avLst/>
        </a:prstGeom>
      </xdr:spPr>
    </xdr:pic>
    <xdr:clientData/>
  </xdr:twoCellAnchor>
  <xdr:twoCellAnchor editAs="oneCell">
    <xdr:from>
      <xdr:col>8</xdr:col>
      <xdr:colOff>205740</xdr:colOff>
      <xdr:row>0</xdr:row>
      <xdr:rowOff>26666</xdr:rowOff>
    </xdr:from>
    <xdr:to>
      <xdr:col>15</xdr:col>
      <xdr:colOff>526353</xdr:colOff>
      <xdr:row>8</xdr:row>
      <xdr:rowOff>61147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3C72C3-E5A4-9CFE-9EFC-CAF8A2215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2540" y="26666"/>
          <a:ext cx="4587813" cy="1497521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11</xdr:row>
      <xdr:rowOff>53340</xdr:rowOff>
    </xdr:from>
    <xdr:to>
      <xdr:col>12</xdr:col>
      <xdr:colOff>395216</xdr:colOff>
      <xdr:row>13</xdr:row>
      <xdr:rowOff>1949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4A59BA-13A0-3028-E94B-A5FC080DB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0820" y="2065020"/>
          <a:ext cx="6315956" cy="314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0</xdr:row>
      <xdr:rowOff>7620</xdr:rowOff>
    </xdr:from>
    <xdr:to>
      <xdr:col>22</xdr:col>
      <xdr:colOff>47704</xdr:colOff>
      <xdr:row>14</xdr:row>
      <xdr:rowOff>44266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E3729-A231-452E-B89D-71B10050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700" y="7620"/>
          <a:ext cx="6715204" cy="2596966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5</xdr:row>
      <xdr:rowOff>137160</xdr:rowOff>
    </xdr:from>
    <xdr:to>
      <xdr:col>6</xdr:col>
      <xdr:colOff>461241</xdr:colOff>
      <xdr:row>7</xdr:row>
      <xdr:rowOff>47664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52E7C-F247-4462-B0F8-BDA401178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8920" y="1051560"/>
          <a:ext cx="1657581" cy="27626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6</xdr:row>
      <xdr:rowOff>144780</xdr:rowOff>
    </xdr:from>
    <xdr:to>
      <xdr:col>7</xdr:col>
      <xdr:colOff>114566</xdr:colOff>
      <xdr:row>8</xdr:row>
      <xdr:rowOff>45757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AD1D3B-CCBF-4AC3-910E-5CF275E45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4160" y="1242060"/>
          <a:ext cx="1905266" cy="266737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8</xdr:row>
      <xdr:rowOff>15240</xdr:rowOff>
    </xdr:from>
    <xdr:to>
      <xdr:col>7</xdr:col>
      <xdr:colOff>381319</xdr:colOff>
      <xdr:row>9</xdr:row>
      <xdr:rowOff>32413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988BFC-E372-4B18-B9F0-842EE44AC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9860" y="1478280"/>
          <a:ext cx="2286319" cy="20005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</xdr:rowOff>
    </xdr:from>
    <xdr:to>
      <xdr:col>6</xdr:col>
      <xdr:colOff>200282</xdr:colOff>
      <xdr:row>2</xdr:row>
      <xdr:rowOff>112569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8CA82-F2D9-AFAA-331F-A3888CFD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"/>
          <a:ext cx="1419482" cy="470709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0</xdr:row>
      <xdr:rowOff>1</xdr:rowOff>
    </xdr:from>
    <xdr:to>
      <xdr:col>9</xdr:col>
      <xdr:colOff>590803</xdr:colOff>
      <xdr:row>2</xdr:row>
      <xdr:rowOff>175247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2850EF-271E-8D42-706A-D6E69F406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5800" y="1"/>
          <a:ext cx="1581403" cy="54100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126256</xdr:rowOff>
    </xdr:from>
    <xdr:to>
      <xdr:col>6</xdr:col>
      <xdr:colOff>287973</xdr:colOff>
      <xdr:row>6</xdr:row>
      <xdr:rowOff>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68A546-BBD4-5103-EBDE-07755C2A9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8920" y="492016"/>
          <a:ext cx="1507173" cy="6053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581446</xdr:colOff>
      <xdr:row>7</xdr:row>
      <xdr:rowOff>93384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827B03-1B90-7A2C-EE90-8A36CCCF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8920" y="1097280"/>
          <a:ext cx="3019846" cy="2762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15</xdr:row>
      <xdr:rowOff>126209</xdr:rowOff>
    </xdr:from>
    <xdr:to>
      <xdr:col>4</xdr:col>
      <xdr:colOff>537590</xdr:colOff>
      <xdr:row>18</xdr:row>
      <xdr:rowOff>21064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ACBDD-53FE-67DE-362B-DBD6A710D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060" y="2869409"/>
          <a:ext cx="1528190" cy="4434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20</xdr:col>
      <xdr:colOff>591313</xdr:colOff>
      <xdr:row>4</xdr:row>
      <xdr:rowOff>173481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6A82E-599A-419C-6B95-6361E9C07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0"/>
          <a:ext cx="5468113" cy="905001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5</xdr:row>
      <xdr:rowOff>41541</xdr:rowOff>
    </xdr:from>
    <xdr:to>
      <xdr:col>4</xdr:col>
      <xdr:colOff>70773</xdr:colOff>
      <xdr:row>7</xdr:row>
      <xdr:rowOff>55331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61081-53D1-696E-2497-B06B7D7A4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060" y="955941"/>
          <a:ext cx="1267113" cy="37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4F-8557-4A19-BC09-AEACEF6D1E15}">
  <dimension ref="A1:E19"/>
  <sheetViews>
    <sheetView workbookViewId="0">
      <selection activeCell="A14" sqref="A14"/>
    </sheetView>
  </sheetViews>
  <sheetFormatPr defaultRowHeight="14.4" x14ac:dyDescent="0.3"/>
  <cols>
    <col min="1" max="1" width="45.33203125" customWidth="1"/>
    <col min="2" max="2" width="14" customWidth="1"/>
    <col min="3" max="5" width="12" bestFit="1" customWidth="1"/>
  </cols>
  <sheetData>
    <row r="1" spans="1:5" x14ac:dyDescent="0.3">
      <c r="A1" s="1" t="s">
        <v>46</v>
      </c>
    </row>
    <row r="2" spans="1:5" x14ac:dyDescent="0.3">
      <c r="A2" t="s">
        <v>0</v>
      </c>
      <c r="B2">
        <v>2.1</v>
      </c>
    </row>
    <row r="3" spans="1:5" x14ac:dyDescent="0.3">
      <c r="A3" t="s">
        <v>3</v>
      </c>
      <c r="B3">
        <v>12000</v>
      </c>
    </row>
    <row r="4" spans="1:5" x14ac:dyDescent="0.3">
      <c r="A4" t="s">
        <v>4</v>
      </c>
      <c r="B4">
        <v>18500</v>
      </c>
    </row>
    <row r="5" spans="1:5" x14ac:dyDescent="0.3">
      <c r="A5" t="s">
        <v>5</v>
      </c>
      <c r="B5">
        <v>21500</v>
      </c>
    </row>
    <row r="6" spans="1:5" x14ac:dyDescent="0.3">
      <c r="A6" t="s">
        <v>10</v>
      </c>
      <c r="B6">
        <v>0.9</v>
      </c>
    </row>
    <row r="7" spans="1:5" x14ac:dyDescent="0.3">
      <c r="A7" t="s">
        <v>6</v>
      </c>
      <c r="B7" s="3">
        <f>B3/((-LN($B$6)^(1/$B$2)))</f>
        <v>35040.696353903346</v>
      </c>
    </row>
    <row r="8" spans="1:5" x14ac:dyDescent="0.3">
      <c r="A8" t="s">
        <v>7</v>
      </c>
      <c r="B8" s="3">
        <f>B4/((-LN($B$6)^(1/$B$2)))</f>
        <v>54021.073545600986</v>
      </c>
    </row>
    <row r="9" spans="1:5" x14ac:dyDescent="0.3">
      <c r="A9" t="s">
        <v>8</v>
      </c>
      <c r="B9" s="3">
        <f>B5/((-LN($B$6)^(1/$B$2)))</f>
        <v>62781.247634076826</v>
      </c>
    </row>
    <row r="10" spans="1:5" x14ac:dyDescent="0.3">
      <c r="A10" t="s">
        <v>1</v>
      </c>
      <c r="B10">
        <f>1/(B7^B2)</f>
        <v>2.8602057197021721E-10</v>
      </c>
      <c r="C10">
        <f>1/(B8^B2)</f>
        <v>1.152437171446212E-10</v>
      </c>
      <c r="D10">
        <f>1/(B9^B2)</f>
        <v>8.4053755363793451E-11</v>
      </c>
      <c r="E10" s="1">
        <f>SUM(B10:D10)</f>
        <v>4.853180444786319E-10</v>
      </c>
    </row>
    <row r="11" spans="1:5" x14ac:dyDescent="0.3">
      <c r="A11" t="s">
        <v>9</v>
      </c>
      <c r="B11" s="3">
        <f>E10^(-1/B2)</f>
        <v>27241.154242196357</v>
      </c>
      <c r="C11" s="5"/>
      <c r="D11" s="5"/>
      <c r="E11" s="6"/>
    </row>
    <row r="12" spans="1:5" x14ac:dyDescent="0.3">
      <c r="A12" t="s">
        <v>2</v>
      </c>
      <c r="B12" s="4">
        <f>_xlfn.GAMMA(1+1/B2)</f>
        <v>0.88569361392386781</v>
      </c>
    </row>
    <row r="13" spans="1:5" x14ac:dyDescent="0.3">
      <c r="A13" t="s">
        <v>47</v>
      </c>
      <c r="B13" s="2">
        <f>B12*B11</f>
        <v>24127.316348228393</v>
      </c>
    </row>
    <row r="16" spans="1:5" x14ac:dyDescent="0.3">
      <c r="B16" s="3"/>
    </row>
    <row r="17" spans="2:2" x14ac:dyDescent="0.3">
      <c r="B17" s="3"/>
    </row>
    <row r="19" spans="2:2" x14ac:dyDescent="0.3">
      <c r="B1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4D46-2703-4094-8EF8-0B42BDC7528A}">
  <dimension ref="A1:H23"/>
  <sheetViews>
    <sheetView zoomScale="90" zoomScaleNormal="90" workbookViewId="0">
      <selection activeCell="C22" sqref="C22"/>
    </sheetView>
  </sheetViews>
  <sheetFormatPr defaultRowHeight="14.4" x14ac:dyDescent="0.3"/>
  <cols>
    <col min="1" max="1" width="13.77734375" customWidth="1"/>
    <col min="2" max="2" width="14.109375" customWidth="1"/>
    <col min="3" max="4" width="16.109375" customWidth="1"/>
    <col min="5" max="5" width="8.77734375" customWidth="1"/>
    <col min="6" max="6" width="15.5546875" customWidth="1"/>
    <col min="8" max="9" width="12" bestFit="1" customWidth="1"/>
    <col min="14" max="14" width="11.77734375" customWidth="1"/>
  </cols>
  <sheetData>
    <row r="1" spans="1:8" x14ac:dyDescent="0.3">
      <c r="A1" s="8" t="s">
        <v>36</v>
      </c>
      <c r="B1" s="7">
        <v>9</v>
      </c>
      <c r="C1" s="7"/>
      <c r="D1" s="7"/>
      <c r="E1" s="7"/>
    </row>
    <row r="2" spans="1:8" x14ac:dyDescent="0.3">
      <c r="A2" s="7" t="s">
        <v>29</v>
      </c>
      <c r="B2" s="8" t="s">
        <v>45</v>
      </c>
      <c r="C2" s="8" t="s">
        <v>24</v>
      </c>
      <c r="D2" s="8" t="s">
        <v>37</v>
      </c>
      <c r="F2" s="9"/>
      <c r="G2" s="9"/>
      <c r="H2" s="9"/>
    </row>
    <row r="3" spans="1:8" x14ac:dyDescent="0.3">
      <c r="A3" s="7">
        <v>1</v>
      </c>
      <c r="B3" s="7">
        <v>2.2999999999999998</v>
      </c>
      <c r="C3" s="16">
        <f>($B$1-A3+0.625)/($B$1+0.25)</f>
        <v>0.93243243243243246</v>
      </c>
      <c r="D3" s="5">
        <f>1/C3</f>
        <v>1.0724637681159419</v>
      </c>
      <c r="F3" s="14"/>
      <c r="G3" s="12"/>
      <c r="H3" s="11"/>
    </row>
    <row r="4" spans="1:8" x14ac:dyDescent="0.3">
      <c r="A4" s="7">
        <v>2</v>
      </c>
      <c r="B4" s="7">
        <v>4.8</v>
      </c>
      <c r="C4" s="16">
        <f t="shared" ref="C4:C11" si="0">($B$1-A4+0.625)/($B$1+0.25)</f>
        <v>0.82432432432432434</v>
      </c>
      <c r="D4" s="5">
        <f t="shared" ref="D4:D11" si="1">1/C4</f>
        <v>1.2131147540983607</v>
      </c>
      <c r="F4" s="14"/>
      <c r="G4" s="12"/>
      <c r="H4" s="11"/>
    </row>
    <row r="5" spans="1:8" x14ac:dyDescent="0.3">
      <c r="A5" s="7">
        <v>3</v>
      </c>
      <c r="B5" s="7">
        <v>8.1</v>
      </c>
      <c r="C5" s="16">
        <f t="shared" si="0"/>
        <v>0.71621621621621623</v>
      </c>
      <c r="D5" s="5">
        <f t="shared" si="1"/>
        <v>1.3962264150943395</v>
      </c>
      <c r="F5" s="14"/>
      <c r="G5" s="12"/>
      <c r="H5" s="11"/>
    </row>
    <row r="6" spans="1:8" x14ac:dyDescent="0.3">
      <c r="A6" s="7">
        <v>4</v>
      </c>
      <c r="B6" s="7">
        <v>11.3</v>
      </c>
      <c r="C6" s="16">
        <f t="shared" si="0"/>
        <v>0.60810810810810811</v>
      </c>
      <c r="D6" s="5">
        <f t="shared" si="1"/>
        <v>1.6444444444444444</v>
      </c>
      <c r="F6" s="14"/>
      <c r="G6" s="12"/>
      <c r="H6" s="11"/>
    </row>
    <row r="7" spans="1:8" x14ac:dyDescent="0.3">
      <c r="A7" s="7">
        <v>5</v>
      </c>
      <c r="B7" s="7">
        <v>17.3</v>
      </c>
      <c r="C7" s="16">
        <f t="shared" si="0"/>
        <v>0.5</v>
      </c>
      <c r="D7" s="5">
        <f t="shared" si="1"/>
        <v>2</v>
      </c>
      <c r="F7" s="14"/>
      <c r="G7" s="12"/>
      <c r="H7" s="11"/>
    </row>
    <row r="8" spans="1:8" x14ac:dyDescent="0.3">
      <c r="A8" s="7">
        <v>6</v>
      </c>
      <c r="B8" s="7">
        <v>22.1</v>
      </c>
      <c r="C8" s="16">
        <f t="shared" si="0"/>
        <v>0.39189189189189189</v>
      </c>
      <c r="D8" s="5">
        <f t="shared" si="1"/>
        <v>2.5517241379310347</v>
      </c>
      <c r="F8" s="14"/>
    </row>
    <row r="9" spans="1:8" x14ac:dyDescent="0.3">
      <c r="A9" s="7">
        <v>7</v>
      </c>
      <c r="B9" s="7">
        <v>31.3</v>
      </c>
      <c r="C9" s="16">
        <f t="shared" si="0"/>
        <v>0.28378378378378377</v>
      </c>
      <c r="D9" s="5">
        <f t="shared" si="1"/>
        <v>3.5238095238095242</v>
      </c>
    </row>
    <row r="10" spans="1:8" x14ac:dyDescent="0.3">
      <c r="A10" s="7">
        <v>8</v>
      </c>
      <c r="B10" s="7">
        <v>45.9</v>
      </c>
      <c r="C10" s="16">
        <f t="shared" si="0"/>
        <v>0.17567567567567569</v>
      </c>
      <c r="D10" s="5">
        <f t="shared" si="1"/>
        <v>5.6923076923076916</v>
      </c>
    </row>
    <row r="11" spans="1:8" x14ac:dyDescent="0.3">
      <c r="A11" s="7">
        <v>9</v>
      </c>
      <c r="B11" s="7">
        <v>78.3</v>
      </c>
      <c r="C11" s="16">
        <f t="shared" si="0"/>
        <v>6.7567567567567571E-2</v>
      </c>
      <c r="D11" s="5">
        <f t="shared" si="1"/>
        <v>14.799999999999999</v>
      </c>
    </row>
    <row r="12" spans="1:8" x14ac:dyDescent="0.3">
      <c r="B12" s="7"/>
    </row>
    <row r="13" spans="1:8" x14ac:dyDescent="0.3">
      <c r="A13" t="s">
        <v>48</v>
      </c>
    </row>
    <row r="14" spans="1:8" x14ac:dyDescent="0.3">
      <c r="A14" s="7" t="s">
        <v>29</v>
      </c>
      <c r="B14" s="8" t="s">
        <v>45</v>
      </c>
      <c r="C14" s="7" t="s">
        <v>38</v>
      </c>
    </row>
    <row r="15" spans="1:8" x14ac:dyDescent="0.3">
      <c r="A15" s="7">
        <v>1</v>
      </c>
      <c r="B15" s="5">
        <f>B3</f>
        <v>2.2999999999999998</v>
      </c>
      <c r="C15" s="13" t="b">
        <f>'3.11'!C22=-LN(1/D3)</f>
        <v>0</v>
      </c>
    </row>
    <row r="16" spans="1:8" x14ac:dyDescent="0.3">
      <c r="A16" s="7">
        <v>2</v>
      </c>
      <c r="B16" s="5">
        <f t="shared" ref="B16:B23" si="2">B4</f>
        <v>4.8</v>
      </c>
      <c r="C16" s="13">
        <f t="shared" ref="C16:C23" si="3">-LN(1/D4)</f>
        <v>0.19319122903085847</v>
      </c>
    </row>
    <row r="17" spans="1:6" x14ac:dyDescent="0.3">
      <c r="A17" s="7">
        <v>3</v>
      </c>
      <c r="B17" s="5">
        <f t="shared" si="2"/>
        <v>8.1</v>
      </c>
      <c r="C17" s="13">
        <f t="shared" si="3"/>
        <v>0.33377317965204789</v>
      </c>
      <c r="E17" t="s">
        <v>39</v>
      </c>
    </row>
    <row r="18" spans="1:6" x14ac:dyDescent="0.3">
      <c r="A18" s="7">
        <v>4</v>
      </c>
      <c r="B18" s="5">
        <f t="shared" si="2"/>
        <v>11.3</v>
      </c>
      <c r="C18" s="13">
        <f t="shared" si="3"/>
        <v>0.49740260343385001</v>
      </c>
      <c r="E18">
        <v>0.04</v>
      </c>
      <c r="F18" t="s">
        <v>41</v>
      </c>
    </row>
    <row r="19" spans="1:6" x14ac:dyDescent="0.3">
      <c r="A19" s="7">
        <v>5</v>
      </c>
      <c r="B19" s="5">
        <f t="shared" si="2"/>
        <v>17.3</v>
      </c>
      <c r="C19" s="13">
        <f t="shared" si="3"/>
        <v>0.69314718055994529</v>
      </c>
      <c r="E19" s="1">
        <f>E18/24</f>
        <v>1.6666666666666668E-3</v>
      </c>
      <c r="F19" t="s">
        <v>42</v>
      </c>
    </row>
    <row r="20" spans="1:6" x14ac:dyDescent="0.3">
      <c r="A20" s="7">
        <v>6</v>
      </c>
      <c r="B20" s="5">
        <f t="shared" si="2"/>
        <v>22.1</v>
      </c>
      <c r="C20" s="13">
        <f t="shared" si="3"/>
        <v>0.93676926321769571</v>
      </c>
      <c r="E20" t="s">
        <v>43</v>
      </c>
    </row>
    <row r="21" spans="1:6" x14ac:dyDescent="0.3">
      <c r="A21" s="7">
        <v>7</v>
      </c>
      <c r="B21" s="5">
        <f t="shared" si="2"/>
        <v>31.3</v>
      </c>
      <c r="C21" s="13">
        <f t="shared" si="3"/>
        <v>1.2595426554807467</v>
      </c>
      <c r="E21" t="s">
        <v>44</v>
      </c>
      <c r="F21" s="7">
        <v>193</v>
      </c>
    </row>
    <row r="22" spans="1:6" x14ac:dyDescent="0.3">
      <c r="A22" s="7">
        <v>8</v>
      </c>
      <c r="B22" s="5">
        <f t="shared" si="2"/>
        <v>45.9</v>
      </c>
      <c r="C22" s="13">
        <f t="shared" si="3"/>
        <v>1.739115735742633</v>
      </c>
      <c r="E22" s="1" t="s">
        <v>40</v>
      </c>
      <c r="F22" s="17">
        <f>EXP(-E19*F21)</f>
        <v>0.72493979665883057</v>
      </c>
    </row>
    <row r="23" spans="1:6" x14ac:dyDescent="0.3">
      <c r="A23" s="7">
        <v>9</v>
      </c>
      <c r="B23" s="5">
        <f t="shared" si="2"/>
        <v>78.3</v>
      </c>
      <c r="C23" s="13">
        <f t="shared" si="3"/>
        <v>2.6946271807700692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4B9D-BFA3-4ADA-A1BF-CD9A874FB412}">
  <dimension ref="A1:I24"/>
  <sheetViews>
    <sheetView zoomScale="90" zoomScaleNormal="90" workbookViewId="0">
      <selection activeCell="F22" sqref="F22"/>
    </sheetView>
  </sheetViews>
  <sheetFormatPr defaultRowHeight="14.4" x14ac:dyDescent="0.3"/>
  <cols>
    <col min="1" max="1" width="13.77734375" customWidth="1"/>
    <col min="2" max="2" width="14.109375" customWidth="1"/>
    <col min="3" max="4" width="16.109375" customWidth="1"/>
    <col min="5" max="5" width="13.44140625" customWidth="1"/>
    <col min="6" max="6" width="15.5546875" customWidth="1"/>
    <col min="8" max="9" width="12" bestFit="1" customWidth="1"/>
    <col min="14" max="14" width="11.77734375" customWidth="1"/>
  </cols>
  <sheetData>
    <row r="1" spans="1:8" x14ac:dyDescent="0.3">
      <c r="A1" s="8" t="s">
        <v>50</v>
      </c>
      <c r="B1" s="7">
        <v>10</v>
      </c>
      <c r="C1" s="7"/>
      <c r="D1" s="7"/>
      <c r="E1" s="7"/>
    </row>
    <row r="2" spans="1:8" x14ac:dyDescent="0.3">
      <c r="A2" s="7" t="s">
        <v>29</v>
      </c>
      <c r="B2" s="8" t="s">
        <v>49</v>
      </c>
      <c r="C2" s="8" t="s">
        <v>33</v>
      </c>
      <c r="D2" s="8" t="s">
        <v>24</v>
      </c>
      <c r="F2" s="9"/>
      <c r="G2" s="9"/>
      <c r="H2" s="9"/>
    </row>
    <row r="3" spans="1:8" x14ac:dyDescent="0.3">
      <c r="A3" s="7">
        <v>1</v>
      </c>
      <c r="B3" s="7">
        <v>89</v>
      </c>
      <c r="C3" s="16">
        <f>(A3-0.375)/($B$1+0.25)</f>
        <v>6.097560975609756E-2</v>
      </c>
      <c r="D3" s="5">
        <f>1-C3</f>
        <v>0.93902439024390238</v>
      </c>
      <c r="F3" s="14"/>
      <c r="G3" s="12"/>
      <c r="H3" s="11"/>
    </row>
    <row r="4" spans="1:8" x14ac:dyDescent="0.3">
      <c r="A4" s="7">
        <v>2</v>
      </c>
      <c r="B4" s="7">
        <v>132</v>
      </c>
      <c r="C4" s="16">
        <f t="shared" ref="C4:C12" si="0">(A4-0.375)/($B$1+0.25)</f>
        <v>0.15853658536585366</v>
      </c>
      <c r="D4" s="5">
        <f t="shared" ref="D4:D12" si="1">1-C4</f>
        <v>0.84146341463414631</v>
      </c>
      <c r="F4" s="14"/>
      <c r="G4" s="12"/>
      <c r="H4" s="11"/>
    </row>
    <row r="5" spans="1:8" x14ac:dyDescent="0.3">
      <c r="A5" s="7">
        <v>3</v>
      </c>
      <c r="B5" s="7">
        <v>202</v>
      </c>
      <c r="C5" s="16">
        <f t="shared" si="0"/>
        <v>0.25609756097560976</v>
      </c>
      <c r="D5" s="5">
        <f t="shared" si="1"/>
        <v>0.74390243902439024</v>
      </c>
      <c r="F5" s="14"/>
      <c r="G5" s="12"/>
      <c r="H5" s="11"/>
    </row>
    <row r="6" spans="1:8" x14ac:dyDescent="0.3">
      <c r="A6" s="7">
        <v>4</v>
      </c>
      <c r="B6" s="7">
        <v>263</v>
      </c>
      <c r="C6" s="16">
        <f t="shared" si="0"/>
        <v>0.35365853658536583</v>
      </c>
      <c r="D6" s="5">
        <f t="shared" si="1"/>
        <v>0.64634146341463417</v>
      </c>
      <c r="F6" s="14"/>
      <c r="G6" s="12"/>
      <c r="H6" s="11"/>
    </row>
    <row r="7" spans="1:8" x14ac:dyDescent="0.3">
      <c r="A7" s="7">
        <v>5</v>
      </c>
      <c r="B7" s="7">
        <v>321</v>
      </c>
      <c r="C7" s="16">
        <f t="shared" si="0"/>
        <v>0.45121951219512196</v>
      </c>
      <c r="D7" s="5">
        <f t="shared" si="1"/>
        <v>0.54878048780487809</v>
      </c>
      <c r="F7" s="14"/>
      <c r="G7" s="12"/>
      <c r="H7" s="11"/>
    </row>
    <row r="8" spans="1:8" x14ac:dyDescent="0.3">
      <c r="A8" s="7">
        <v>6</v>
      </c>
      <c r="B8" s="7">
        <v>362</v>
      </c>
      <c r="C8" s="16">
        <f t="shared" si="0"/>
        <v>0.54878048780487809</v>
      </c>
      <c r="D8" s="5">
        <f t="shared" si="1"/>
        <v>0.45121951219512191</v>
      </c>
      <c r="F8" s="14"/>
    </row>
    <row r="9" spans="1:8" x14ac:dyDescent="0.3">
      <c r="A9" s="7">
        <v>7</v>
      </c>
      <c r="B9" s="7">
        <v>421</v>
      </c>
      <c r="C9" s="16">
        <f t="shared" si="0"/>
        <v>0.64634146341463417</v>
      </c>
      <c r="D9" s="5">
        <f t="shared" si="1"/>
        <v>0.35365853658536583</v>
      </c>
    </row>
    <row r="10" spans="1:8" x14ac:dyDescent="0.3">
      <c r="A10" s="7">
        <v>8</v>
      </c>
      <c r="B10" s="7">
        <v>473</v>
      </c>
      <c r="C10" s="16">
        <f t="shared" si="0"/>
        <v>0.74390243902439024</v>
      </c>
      <c r="D10" s="5">
        <f t="shared" si="1"/>
        <v>0.25609756097560976</v>
      </c>
    </row>
    <row r="11" spans="1:8" x14ac:dyDescent="0.3">
      <c r="A11" s="7">
        <v>9</v>
      </c>
      <c r="B11" s="7">
        <v>575</v>
      </c>
      <c r="C11" s="16">
        <f t="shared" si="0"/>
        <v>0.84146341463414631</v>
      </c>
      <c r="D11" s="5">
        <f t="shared" si="1"/>
        <v>0.15853658536585369</v>
      </c>
    </row>
    <row r="12" spans="1:8" x14ac:dyDescent="0.3">
      <c r="A12" s="7">
        <v>10</v>
      </c>
      <c r="B12" s="7">
        <v>663</v>
      </c>
      <c r="C12" s="16">
        <f t="shared" si="0"/>
        <v>0.93902439024390238</v>
      </c>
      <c r="D12" s="5">
        <f t="shared" si="1"/>
        <v>6.0975609756097615E-2</v>
      </c>
    </row>
    <row r="13" spans="1:8" x14ac:dyDescent="0.3">
      <c r="B13" s="7"/>
    </row>
    <row r="14" spans="1:8" x14ac:dyDescent="0.3">
      <c r="A14" t="s">
        <v>52</v>
      </c>
    </row>
    <row r="15" spans="1:8" x14ac:dyDescent="0.3">
      <c r="A15" s="7" t="s">
        <v>29</v>
      </c>
      <c r="B15" s="8" t="s">
        <v>45</v>
      </c>
      <c r="C15" s="7" t="s">
        <v>51</v>
      </c>
    </row>
    <row r="16" spans="1:8" x14ac:dyDescent="0.3">
      <c r="A16" s="7">
        <v>1</v>
      </c>
      <c r="B16" s="5">
        <f>LN(B3)</f>
        <v>4.4886363697321396</v>
      </c>
      <c r="C16" s="13">
        <f>LN(LN(1/D3))</f>
        <v>-2.7659893395781205</v>
      </c>
    </row>
    <row r="17" spans="1:9" x14ac:dyDescent="0.3">
      <c r="A17" s="7">
        <v>2</v>
      </c>
      <c r="B17" s="5">
        <f t="shared" ref="B17:B24" si="2">LN(B4)</f>
        <v>4.8828019225863706</v>
      </c>
      <c r="C17" s="13">
        <f t="shared" ref="C17:C24" si="3">LN(LN(1/D4))</f>
        <v>-1.7567046753233324</v>
      </c>
    </row>
    <row r="18" spans="1:9" x14ac:dyDescent="0.3">
      <c r="A18" s="7">
        <v>3</v>
      </c>
      <c r="B18" s="5">
        <f t="shared" si="2"/>
        <v>5.3082676974012051</v>
      </c>
      <c r="C18" s="13">
        <f t="shared" si="3"/>
        <v>-1.2179183155551694</v>
      </c>
      <c r="E18" t="s">
        <v>53</v>
      </c>
      <c r="H18" s="18">
        <v>1.8</v>
      </c>
      <c r="I18" t="s">
        <v>57</v>
      </c>
    </row>
    <row r="19" spans="1:9" x14ac:dyDescent="0.3">
      <c r="A19" s="7">
        <v>4</v>
      </c>
      <c r="B19" s="5">
        <f t="shared" si="2"/>
        <v>5.5721540321777647</v>
      </c>
      <c r="C19" s="13">
        <f t="shared" si="3"/>
        <v>-0.82913339244725948</v>
      </c>
      <c r="E19" t="s">
        <v>54</v>
      </c>
    </row>
    <row r="20" spans="1:9" x14ac:dyDescent="0.3">
      <c r="A20" s="7">
        <v>5</v>
      </c>
      <c r="B20" s="5">
        <f t="shared" si="2"/>
        <v>5.7714411231300158</v>
      </c>
      <c r="C20" s="13">
        <f t="shared" si="3"/>
        <v>-0.51073103241667106</v>
      </c>
      <c r="E20" t="s">
        <v>59</v>
      </c>
    </row>
    <row r="21" spans="1:9" x14ac:dyDescent="0.3">
      <c r="A21" s="7">
        <v>6</v>
      </c>
      <c r="B21" s="5">
        <f t="shared" si="2"/>
        <v>5.8916442118257715</v>
      </c>
      <c r="C21" s="13">
        <f t="shared" si="3"/>
        <v>-0.22840570391101081</v>
      </c>
      <c r="E21" t="s">
        <v>55</v>
      </c>
      <c r="F21" s="15">
        <f>(10.449+0.632)/1.8</f>
        <v>6.1561111111111106</v>
      </c>
    </row>
    <row r="22" spans="1:9" x14ac:dyDescent="0.3">
      <c r="A22" s="7">
        <v>7</v>
      </c>
      <c r="B22" s="5">
        <f t="shared" si="2"/>
        <v>6.0426328336823811</v>
      </c>
      <c r="C22" s="13">
        <f t="shared" si="3"/>
        <v>3.8666152949518348E-2</v>
      </c>
      <c r="E22" t="s">
        <v>56</v>
      </c>
      <c r="F22" s="17">
        <f>EXP(F21)</f>
        <v>471.59054095329014</v>
      </c>
      <c r="I22" t="s">
        <v>58</v>
      </c>
    </row>
    <row r="23" spans="1:9" x14ac:dyDescent="0.3">
      <c r="A23" s="7">
        <v>8</v>
      </c>
      <c r="B23" s="5">
        <f t="shared" si="2"/>
        <v>6.1590953884919326</v>
      </c>
      <c r="C23" s="13">
        <f t="shared" si="3"/>
        <v>0.30909869768522913</v>
      </c>
      <c r="E23" s="1"/>
      <c r="F23" s="17"/>
    </row>
    <row r="24" spans="1:9" x14ac:dyDescent="0.3">
      <c r="A24" s="7">
        <v>9</v>
      </c>
      <c r="B24" s="5">
        <f t="shared" si="2"/>
        <v>6.3543700407973507</v>
      </c>
      <c r="C24" s="13">
        <f t="shared" si="3"/>
        <v>0.61072700592668949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6547-38AB-489C-8303-D082ADAC9691}">
  <dimension ref="A1:B5"/>
  <sheetViews>
    <sheetView workbookViewId="0">
      <selection activeCell="C2" sqref="C2"/>
    </sheetView>
  </sheetViews>
  <sheetFormatPr defaultRowHeight="14.4" x14ac:dyDescent="0.3"/>
  <cols>
    <col min="1" max="1" width="32.33203125" customWidth="1"/>
    <col min="2" max="2" width="12" bestFit="1" customWidth="1"/>
  </cols>
  <sheetData>
    <row r="1" spans="1:2" x14ac:dyDescent="0.3">
      <c r="A1" t="s">
        <v>16</v>
      </c>
    </row>
    <row r="2" spans="1:2" x14ac:dyDescent="0.3">
      <c r="A2" t="s">
        <v>13</v>
      </c>
      <c r="B2" s="3">
        <v>200</v>
      </c>
    </row>
    <row r="3" spans="1:2" x14ac:dyDescent="0.3">
      <c r="A3" t="s">
        <v>14</v>
      </c>
      <c r="B3" s="3">
        <v>3.8</v>
      </c>
    </row>
    <row r="4" spans="1:2" x14ac:dyDescent="0.3">
      <c r="A4" t="s">
        <v>15</v>
      </c>
      <c r="B4" s="3">
        <v>400</v>
      </c>
    </row>
    <row r="5" spans="1:2" x14ac:dyDescent="0.3">
      <c r="A5" t="s">
        <v>12</v>
      </c>
      <c r="B5">
        <f>_xlfn.GAMMA.DIST(B2,B3,B4,TRUE)</f>
        <v>2.7190885247239385E-3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5077-783A-45DF-9C7F-8FB5BD283F9F}">
  <dimension ref="A1:E9"/>
  <sheetViews>
    <sheetView workbookViewId="0">
      <selection activeCell="S3" sqref="S3"/>
    </sheetView>
  </sheetViews>
  <sheetFormatPr defaultRowHeight="14.4" x14ac:dyDescent="0.3"/>
  <cols>
    <col min="1" max="1" width="21.5546875" customWidth="1"/>
  </cols>
  <sheetData>
    <row r="1" spans="1:5" x14ac:dyDescent="0.3">
      <c r="A1" t="s">
        <v>17</v>
      </c>
    </row>
    <row r="2" spans="1:5" x14ac:dyDescent="0.3">
      <c r="A2" t="s">
        <v>15</v>
      </c>
      <c r="B2">
        <v>10</v>
      </c>
    </row>
    <row r="3" spans="1:5" x14ac:dyDescent="0.3">
      <c r="A3" t="s">
        <v>14</v>
      </c>
      <c r="B3">
        <v>0.5</v>
      </c>
    </row>
    <row r="4" spans="1:5" x14ac:dyDescent="0.3">
      <c r="A4" t="s">
        <v>11</v>
      </c>
      <c r="B4">
        <v>1</v>
      </c>
    </row>
    <row r="5" spans="1:5" x14ac:dyDescent="0.3">
      <c r="A5" t="s">
        <v>18</v>
      </c>
      <c r="B5">
        <v>10</v>
      </c>
    </row>
    <row r="6" spans="1:5" x14ac:dyDescent="0.3">
      <c r="A6" t="s">
        <v>19</v>
      </c>
      <c r="B6">
        <f>1-_xlfn.WEIBULL.DIST(B4,$B$3,$B$2,TRUE)</f>
        <v>0.72889341411002451</v>
      </c>
      <c r="C6">
        <f>(B4/$B$2)^$B$3</f>
        <v>0.31622776601683794</v>
      </c>
      <c r="D6">
        <f>EXP(-C6)</f>
        <v>0.72889341411002462</v>
      </c>
      <c r="E6" s="1"/>
    </row>
    <row r="7" spans="1:5" x14ac:dyDescent="0.3">
      <c r="A7" t="s">
        <v>20</v>
      </c>
      <c r="B7">
        <f>1-_xlfn.WEIBULL.DIST(B5,$B$3,$B$2,TRUE)</f>
        <v>0.36787944117144233</v>
      </c>
      <c r="C7">
        <f>(B5/$B$2)^$B$3</f>
        <v>1</v>
      </c>
      <c r="D7">
        <f>EXP(-C7)</f>
        <v>0.36787944117144233</v>
      </c>
      <c r="E7" s="1"/>
    </row>
    <row r="8" spans="1:5" x14ac:dyDescent="0.3">
      <c r="A8" t="s">
        <v>21</v>
      </c>
      <c r="B8">
        <f>_xlfn.GAMMA((B3+1)/B3)</f>
        <v>2</v>
      </c>
    </row>
    <row r="9" spans="1:5" x14ac:dyDescent="0.3">
      <c r="A9" t="s">
        <v>22</v>
      </c>
      <c r="B9">
        <f>B8*B2</f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4E8B-D929-4D3E-9AAC-90D5323EC9B2}">
  <dimension ref="A1:H9"/>
  <sheetViews>
    <sheetView workbookViewId="0">
      <selection activeCell="H6" sqref="H6"/>
    </sheetView>
  </sheetViews>
  <sheetFormatPr defaultRowHeight="14.4" x14ac:dyDescent="0.3"/>
  <cols>
    <col min="1" max="1" width="13.77734375" customWidth="1"/>
    <col min="2" max="4" width="14.109375" customWidth="1"/>
    <col min="5" max="5" width="10.77734375" customWidth="1"/>
    <col min="7" max="8" width="12" bestFit="1" customWidth="1"/>
  </cols>
  <sheetData>
    <row r="1" spans="1:8" ht="28.8" x14ac:dyDescent="0.3">
      <c r="A1" s="8" t="s">
        <v>23</v>
      </c>
      <c r="B1" s="7">
        <v>158</v>
      </c>
      <c r="C1" s="7"/>
      <c r="D1" s="7"/>
    </row>
    <row r="2" spans="1:8" x14ac:dyDescent="0.3">
      <c r="A2" s="7" t="s">
        <v>29</v>
      </c>
      <c r="B2" s="8" t="s">
        <v>27</v>
      </c>
      <c r="C2" s="8" t="s">
        <v>28</v>
      </c>
      <c r="D2" s="8" t="s">
        <v>30</v>
      </c>
      <c r="E2" s="8" t="s">
        <v>31</v>
      </c>
      <c r="F2" s="9" t="s">
        <v>24</v>
      </c>
      <c r="G2" s="9" t="s">
        <v>25</v>
      </c>
      <c r="H2" s="9" t="s">
        <v>26</v>
      </c>
    </row>
    <row r="3" spans="1:8" x14ac:dyDescent="0.3">
      <c r="B3">
        <v>0</v>
      </c>
      <c r="C3">
        <v>1750</v>
      </c>
      <c r="D3" s="7">
        <v>17</v>
      </c>
      <c r="E3" s="7">
        <f>B1</f>
        <v>158</v>
      </c>
      <c r="F3" s="10">
        <f>B1/$B$1</f>
        <v>1</v>
      </c>
      <c r="G3" s="12">
        <f t="shared" ref="G3:G8" si="0">D3/$B$1/(C3-B3)</f>
        <v>6.1482820976491859E-5</v>
      </c>
      <c r="H3" s="11">
        <f>D3/(B1*(C3-B3))</f>
        <v>6.1482820976491859E-5</v>
      </c>
    </row>
    <row r="4" spans="1:8" x14ac:dyDescent="0.3">
      <c r="B4">
        <f>C3</f>
        <v>1750</v>
      </c>
      <c r="C4">
        <v>2250</v>
      </c>
      <c r="D4" s="9">
        <v>54</v>
      </c>
      <c r="E4" s="7">
        <f>E3-D3</f>
        <v>141</v>
      </c>
      <c r="F4" s="10">
        <f>E4/$B$1</f>
        <v>0.89240506329113922</v>
      </c>
      <c r="G4" s="12">
        <f t="shared" si="0"/>
        <v>6.8354430379746832E-4</v>
      </c>
      <c r="H4" s="11">
        <f t="shared" ref="H4:H7" si="1">D4/(E4*(C4-B4))</f>
        <v>7.659574468085106E-4</v>
      </c>
    </row>
    <row r="5" spans="1:8" x14ac:dyDescent="0.3">
      <c r="B5">
        <f t="shared" ref="B5:B8" si="2">C4</f>
        <v>2250</v>
      </c>
      <c r="C5">
        <v>2750</v>
      </c>
      <c r="D5" s="9">
        <v>27</v>
      </c>
      <c r="E5" s="7">
        <f t="shared" ref="E5:E9" si="3">E4-D4</f>
        <v>87</v>
      </c>
      <c r="F5" s="10">
        <f t="shared" ref="F5:F8" si="4">E5/$B$1</f>
        <v>0.55063291139240511</v>
      </c>
      <c r="G5" s="12">
        <f t="shared" si="0"/>
        <v>3.4177215189873416E-4</v>
      </c>
      <c r="H5" s="11">
        <f t="shared" si="1"/>
        <v>6.2068965517241383E-4</v>
      </c>
    </row>
    <row r="6" spans="1:8" x14ac:dyDescent="0.3">
      <c r="B6">
        <f t="shared" si="2"/>
        <v>2750</v>
      </c>
      <c r="C6">
        <v>3250</v>
      </c>
      <c r="D6" s="9">
        <v>17</v>
      </c>
      <c r="E6" s="7">
        <f t="shared" si="3"/>
        <v>60</v>
      </c>
      <c r="F6" s="10">
        <f t="shared" si="4"/>
        <v>0.379746835443038</v>
      </c>
      <c r="G6" s="12">
        <f t="shared" si="0"/>
        <v>2.1518987341772152E-4</v>
      </c>
      <c r="H6" s="11">
        <f t="shared" si="1"/>
        <v>5.6666666666666671E-4</v>
      </c>
    </row>
    <row r="7" spans="1:8" x14ac:dyDescent="0.3">
      <c r="B7">
        <f t="shared" si="2"/>
        <v>3250</v>
      </c>
      <c r="C7">
        <v>3750</v>
      </c>
      <c r="D7" s="9">
        <v>19</v>
      </c>
      <c r="E7" s="7">
        <f t="shared" si="3"/>
        <v>43</v>
      </c>
      <c r="F7" s="10">
        <f t="shared" si="4"/>
        <v>0.27215189873417722</v>
      </c>
      <c r="G7" s="12">
        <f t="shared" si="0"/>
        <v>2.4050632911392405E-4</v>
      </c>
      <c r="H7" s="11">
        <f t="shared" si="1"/>
        <v>8.8372093023255814E-4</v>
      </c>
    </row>
    <row r="8" spans="1:8" x14ac:dyDescent="0.3">
      <c r="B8">
        <f t="shared" si="2"/>
        <v>3750</v>
      </c>
      <c r="C8">
        <v>4250</v>
      </c>
      <c r="D8" s="9">
        <v>24</v>
      </c>
      <c r="E8" s="7">
        <f t="shared" si="3"/>
        <v>24</v>
      </c>
      <c r="F8" s="10">
        <f t="shared" si="4"/>
        <v>0.15189873417721519</v>
      </c>
      <c r="G8" s="12">
        <f t="shared" si="0"/>
        <v>3.037974683544304E-4</v>
      </c>
      <c r="H8" s="11"/>
    </row>
    <row r="9" spans="1:8" x14ac:dyDescent="0.3">
      <c r="E9" s="7">
        <f t="shared" si="3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29DC-CBBF-4A49-B717-8385ED47D1CB}">
  <dimension ref="A1:M28"/>
  <sheetViews>
    <sheetView zoomScale="90" zoomScaleNormal="90" workbookViewId="0">
      <selection activeCell="C3" sqref="C3"/>
    </sheetView>
  </sheetViews>
  <sheetFormatPr defaultRowHeight="14.4" x14ac:dyDescent="0.3"/>
  <cols>
    <col min="1" max="1" width="13.77734375" customWidth="1"/>
    <col min="2" max="2" width="14.109375" customWidth="1"/>
    <col min="3" max="4" width="16.109375" customWidth="1"/>
    <col min="5" max="5" width="8.77734375" customWidth="1"/>
    <col min="6" max="6" width="15.5546875" customWidth="1"/>
    <col min="8" max="9" width="12" bestFit="1" customWidth="1"/>
    <col min="14" max="14" width="11.77734375" customWidth="1"/>
  </cols>
  <sheetData>
    <row r="1" spans="1:13" x14ac:dyDescent="0.3">
      <c r="A1" s="8" t="s">
        <v>32</v>
      </c>
      <c r="B1" s="7">
        <v>10</v>
      </c>
      <c r="C1" s="7"/>
      <c r="D1" s="7"/>
      <c r="E1" s="7"/>
    </row>
    <row r="2" spans="1:13" x14ac:dyDescent="0.3">
      <c r="A2" s="7" t="s">
        <v>29</v>
      </c>
      <c r="B2" s="8" t="s">
        <v>49</v>
      </c>
      <c r="C2" s="8" t="s">
        <v>24</v>
      </c>
      <c r="D2" s="8" t="s">
        <v>37</v>
      </c>
      <c r="F2" s="9"/>
      <c r="G2" s="9"/>
      <c r="H2" s="9"/>
    </row>
    <row r="3" spans="1:13" x14ac:dyDescent="0.3">
      <c r="A3" s="9">
        <v>0</v>
      </c>
      <c r="B3" s="9">
        <v>0</v>
      </c>
      <c r="C3" s="16">
        <f>($B$1-A3+0.625)/($B$1+0.25)</f>
        <v>1.0365853658536586</v>
      </c>
      <c r="D3" s="5">
        <f>1/C3</f>
        <v>0.96470588235294119</v>
      </c>
      <c r="F3" s="14"/>
      <c r="G3" s="12"/>
      <c r="H3" s="11"/>
    </row>
    <row r="4" spans="1:13" x14ac:dyDescent="0.3">
      <c r="A4" s="7">
        <v>1</v>
      </c>
      <c r="B4" s="7">
        <v>37.5</v>
      </c>
      <c r="C4" s="16">
        <f t="shared" ref="C4:C9" si="0">($B$1-A4+0.625)/($B$1+0.25)</f>
        <v>0.93902439024390238</v>
      </c>
      <c r="D4" s="5">
        <f t="shared" ref="D4:D9" si="1">1/C4</f>
        <v>1.0649350649350651</v>
      </c>
      <c r="F4" s="14"/>
      <c r="G4" s="12"/>
      <c r="H4" s="11"/>
    </row>
    <row r="5" spans="1:13" x14ac:dyDescent="0.3">
      <c r="A5" s="7">
        <v>2</v>
      </c>
      <c r="B5" s="7">
        <v>46</v>
      </c>
      <c r="C5" s="16">
        <f t="shared" si="0"/>
        <v>0.84146341463414631</v>
      </c>
      <c r="D5" s="5">
        <f t="shared" si="1"/>
        <v>1.1884057971014492</v>
      </c>
      <c r="F5" s="14"/>
      <c r="G5" s="12"/>
      <c r="H5" s="11"/>
    </row>
    <row r="6" spans="1:13" x14ac:dyDescent="0.3">
      <c r="A6" s="7">
        <v>3</v>
      </c>
      <c r="B6" s="7">
        <v>48</v>
      </c>
      <c r="C6" s="16">
        <f t="shared" si="0"/>
        <v>0.74390243902439024</v>
      </c>
      <c r="D6" s="5">
        <f t="shared" si="1"/>
        <v>1.3442622950819672</v>
      </c>
      <c r="F6" s="14"/>
      <c r="G6" s="12"/>
      <c r="H6" s="11"/>
    </row>
    <row r="7" spans="1:13" x14ac:dyDescent="0.3">
      <c r="A7" s="7">
        <v>4</v>
      </c>
      <c r="B7" s="7">
        <v>51.5</v>
      </c>
      <c r="C7" s="16">
        <f t="shared" si="0"/>
        <v>0.64634146341463417</v>
      </c>
      <c r="D7" s="5">
        <f t="shared" si="1"/>
        <v>1.5471698113207546</v>
      </c>
      <c r="F7" s="14"/>
      <c r="G7" s="12"/>
      <c r="H7" s="11"/>
    </row>
    <row r="8" spans="1:13" x14ac:dyDescent="0.3">
      <c r="A8" s="7">
        <v>5</v>
      </c>
      <c r="B8" s="7">
        <v>53</v>
      </c>
      <c r="C8" s="16">
        <f t="shared" si="0"/>
        <v>0.54878048780487809</v>
      </c>
      <c r="D8" s="5">
        <f t="shared" si="1"/>
        <v>1.8222222222222222</v>
      </c>
      <c r="F8" s="14"/>
      <c r="G8" s="12"/>
      <c r="H8" s="11"/>
    </row>
    <row r="9" spans="1:13" x14ac:dyDescent="0.3">
      <c r="A9" s="7">
        <v>6</v>
      </c>
      <c r="B9" s="7">
        <v>54.5</v>
      </c>
      <c r="C9" s="16">
        <f t="shared" si="0"/>
        <v>0.45121951219512196</v>
      </c>
      <c r="D9" s="5">
        <f t="shared" si="1"/>
        <v>2.2162162162162162</v>
      </c>
      <c r="F9" s="14"/>
    </row>
    <row r="10" spans="1:13" x14ac:dyDescent="0.3">
      <c r="B10" s="7">
        <v>60</v>
      </c>
    </row>
    <row r="11" spans="1:13" x14ac:dyDescent="0.3">
      <c r="A11" t="s">
        <v>60</v>
      </c>
    </row>
    <row r="12" spans="1:13" x14ac:dyDescent="0.3">
      <c r="A12" s="7" t="s">
        <v>29</v>
      </c>
      <c r="B12" s="7" t="s">
        <v>34</v>
      </c>
      <c r="C12" s="7" t="s">
        <v>35</v>
      </c>
      <c r="M12" s="1" t="s">
        <v>62</v>
      </c>
    </row>
    <row r="13" spans="1:13" x14ac:dyDescent="0.3">
      <c r="A13" s="7">
        <v>1</v>
      </c>
      <c r="B13" s="13">
        <f>LN(B4)</f>
        <v>3.6243409329763652</v>
      </c>
      <c r="C13">
        <f>LN(LN(1/C4))</f>
        <v>-2.7659893395781205</v>
      </c>
      <c r="M13" t="s">
        <v>63</v>
      </c>
    </row>
    <row r="14" spans="1:13" x14ac:dyDescent="0.3">
      <c r="A14" s="7">
        <v>2</v>
      </c>
      <c r="B14" s="13">
        <f t="shared" ref="B14:B18" si="2">LN(B5)</f>
        <v>3.8286413964890951</v>
      </c>
      <c r="C14">
        <f t="shared" ref="C14:C18" si="3">LN(LN(1/C5))</f>
        <v>-1.7567046753233324</v>
      </c>
    </row>
    <row r="15" spans="1:13" x14ac:dyDescent="0.3">
      <c r="A15" s="7">
        <v>3</v>
      </c>
      <c r="B15" s="13">
        <f t="shared" si="2"/>
        <v>3.8712010109078911</v>
      </c>
      <c r="C15">
        <f t="shared" si="3"/>
        <v>-1.2179183155551694</v>
      </c>
    </row>
    <row r="16" spans="1:13" x14ac:dyDescent="0.3">
      <c r="A16" s="7">
        <v>4</v>
      </c>
      <c r="B16" s="13">
        <f t="shared" si="2"/>
        <v>3.9415818076696905</v>
      </c>
      <c r="C16">
        <f t="shared" si="3"/>
        <v>-0.82913339244725948</v>
      </c>
    </row>
    <row r="17" spans="1:3" x14ac:dyDescent="0.3">
      <c r="A17" s="7">
        <v>5</v>
      </c>
      <c r="B17" s="13">
        <f t="shared" si="2"/>
        <v>3.970291913552122</v>
      </c>
      <c r="C17">
        <f t="shared" si="3"/>
        <v>-0.51073103241667106</v>
      </c>
    </row>
    <row r="18" spans="1:3" x14ac:dyDescent="0.3">
      <c r="A18" s="7">
        <v>6</v>
      </c>
      <c r="B18" s="13">
        <f t="shared" si="2"/>
        <v>3.9982007016691985</v>
      </c>
      <c r="C18">
        <f t="shared" si="3"/>
        <v>-0.22840570391101081</v>
      </c>
    </row>
    <row r="20" spans="1:3" x14ac:dyDescent="0.3">
      <c r="A20" t="s">
        <v>61</v>
      </c>
    </row>
    <row r="21" spans="1:3" x14ac:dyDescent="0.3">
      <c r="A21" s="7" t="s">
        <v>29</v>
      </c>
      <c r="B21" s="8" t="s">
        <v>49</v>
      </c>
      <c r="C21" s="7" t="s">
        <v>38</v>
      </c>
    </row>
    <row r="22" spans="1:3" x14ac:dyDescent="0.3">
      <c r="A22" s="7">
        <v>1</v>
      </c>
      <c r="B22" s="7">
        <v>37.5</v>
      </c>
      <c r="C22" s="13">
        <f>-LN(D3)</f>
        <v>3.5932009226063329E-2</v>
      </c>
    </row>
    <row r="23" spans="1:3" x14ac:dyDescent="0.3">
      <c r="A23" s="7">
        <v>2</v>
      </c>
      <c r="B23" s="7">
        <v>46</v>
      </c>
      <c r="C23" s="13">
        <f t="shared" ref="C23:C27" si="4">-LN(D4)</f>
        <v>-6.2913825410569391E-2</v>
      </c>
    </row>
    <row r="24" spans="1:3" x14ac:dyDescent="0.3">
      <c r="A24" s="7">
        <v>3</v>
      </c>
      <c r="B24" s="7">
        <v>48</v>
      </c>
      <c r="C24" s="13">
        <f t="shared" si="4"/>
        <v>-0.1726127426669937</v>
      </c>
    </row>
    <row r="25" spans="1:3" x14ac:dyDescent="0.3">
      <c r="A25" s="7">
        <v>4</v>
      </c>
      <c r="B25" s="7">
        <v>51.5</v>
      </c>
      <c r="C25" s="13">
        <f t="shared" si="4"/>
        <v>-0.29584538309094183</v>
      </c>
    </row>
    <row r="26" spans="1:3" x14ac:dyDescent="0.3">
      <c r="A26" s="7">
        <v>5</v>
      </c>
      <c r="B26" s="7">
        <v>53</v>
      </c>
      <c r="C26" s="13">
        <f t="shared" si="4"/>
        <v>-0.43642733371213122</v>
      </c>
    </row>
    <row r="27" spans="1:3" x14ac:dyDescent="0.3">
      <c r="A27" s="7">
        <v>6</v>
      </c>
      <c r="B27" s="7">
        <v>54.5</v>
      </c>
      <c r="C27" s="13">
        <f t="shared" si="4"/>
        <v>-0.60005675749393339</v>
      </c>
    </row>
    <row r="28" spans="1:3" x14ac:dyDescent="0.3">
      <c r="C28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F4AC-398D-425D-8E64-9FA105C7AC7D}">
  <dimension ref="A1:H9"/>
  <sheetViews>
    <sheetView workbookViewId="0">
      <selection activeCell="I9" sqref="I9"/>
    </sheetView>
  </sheetViews>
  <sheetFormatPr defaultRowHeight="14.4" x14ac:dyDescent="0.3"/>
  <cols>
    <col min="1" max="1" width="13.77734375" customWidth="1"/>
    <col min="2" max="4" width="14.109375" customWidth="1"/>
    <col min="5" max="5" width="10.77734375" customWidth="1"/>
    <col min="7" max="8" width="12" bestFit="1" customWidth="1"/>
  </cols>
  <sheetData>
    <row r="1" spans="1:8" ht="28.8" x14ac:dyDescent="0.3">
      <c r="A1" s="8" t="s">
        <v>64</v>
      </c>
      <c r="B1" s="9">
        <v>25</v>
      </c>
      <c r="C1" s="7"/>
      <c r="D1" s="7"/>
    </row>
    <row r="2" spans="1:8" x14ac:dyDescent="0.3">
      <c r="A2" s="7" t="s">
        <v>29</v>
      </c>
      <c r="B2" s="8" t="s">
        <v>27</v>
      </c>
      <c r="C2" s="8" t="s">
        <v>28</v>
      </c>
      <c r="D2" s="8" t="s">
        <v>30</v>
      </c>
      <c r="E2" s="8" t="s">
        <v>31</v>
      </c>
      <c r="F2" s="9" t="s">
        <v>24</v>
      </c>
      <c r="G2" s="9" t="s">
        <v>25</v>
      </c>
      <c r="H2" s="9" t="s">
        <v>26</v>
      </c>
    </row>
    <row r="3" spans="1:8" x14ac:dyDescent="0.3">
      <c r="B3">
        <v>0</v>
      </c>
      <c r="C3">
        <v>100</v>
      </c>
      <c r="D3" s="7">
        <v>10</v>
      </c>
      <c r="E3" s="7">
        <f>B1</f>
        <v>25</v>
      </c>
      <c r="F3" s="10">
        <f>B1/$B$1</f>
        <v>1</v>
      </c>
      <c r="G3" s="12">
        <f t="shared" ref="G3:G7" si="0">D3/$B$1/(C3-B3)</f>
        <v>4.0000000000000001E-3</v>
      </c>
      <c r="H3" s="11">
        <f>D3/(B1*(C3-B3))</f>
        <v>4.0000000000000001E-3</v>
      </c>
    </row>
    <row r="4" spans="1:8" x14ac:dyDescent="0.3">
      <c r="B4">
        <f>C3</f>
        <v>100</v>
      </c>
      <c r="C4">
        <f>C3+100</f>
        <v>200</v>
      </c>
      <c r="D4" s="9">
        <v>7</v>
      </c>
      <c r="E4" s="7">
        <f>E3-D3</f>
        <v>15</v>
      </c>
      <c r="F4" s="10">
        <f>E4/$B$1</f>
        <v>0.6</v>
      </c>
      <c r="G4" s="12">
        <f t="shared" si="0"/>
        <v>2.8000000000000004E-3</v>
      </c>
      <c r="H4" s="11">
        <f t="shared" ref="H4:H7" si="1">D4/(E4*(C4-B4))</f>
        <v>4.6666666666666671E-3</v>
      </c>
    </row>
    <row r="5" spans="1:8" x14ac:dyDescent="0.3">
      <c r="B5">
        <f t="shared" ref="B5:B8" si="2">C4</f>
        <v>200</v>
      </c>
      <c r="C5">
        <v>300</v>
      </c>
      <c r="D5" s="9">
        <v>3</v>
      </c>
      <c r="E5" s="7">
        <f t="shared" ref="E5:E9" si="3">E4-D4</f>
        <v>8</v>
      </c>
      <c r="F5" s="10">
        <f t="shared" ref="F5:F7" si="4">E5/$B$1</f>
        <v>0.32</v>
      </c>
      <c r="G5" s="12">
        <f t="shared" si="0"/>
        <v>1.1999999999999999E-3</v>
      </c>
      <c r="H5" s="11">
        <f t="shared" si="1"/>
        <v>3.7499999999999999E-3</v>
      </c>
    </row>
    <row r="6" spans="1:8" x14ac:dyDescent="0.3">
      <c r="B6">
        <f t="shared" si="2"/>
        <v>300</v>
      </c>
      <c r="C6">
        <v>400</v>
      </c>
      <c r="D6" s="9">
        <v>3</v>
      </c>
      <c r="E6" s="7">
        <f t="shared" si="3"/>
        <v>5</v>
      </c>
      <c r="F6" s="10">
        <f t="shared" si="4"/>
        <v>0.2</v>
      </c>
      <c r="G6" s="12">
        <f t="shared" si="0"/>
        <v>1.1999999999999999E-3</v>
      </c>
      <c r="H6" s="11">
        <f t="shared" si="1"/>
        <v>6.0000000000000001E-3</v>
      </c>
    </row>
    <row r="7" spans="1:8" x14ac:dyDescent="0.3">
      <c r="B7">
        <f t="shared" si="2"/>
        <v>400</v>
      </c>
      <c r="C7">
        <v>500</v>
      </c>
      <c r="D7" s="9">
        <v>2</v>
      </c>
      <c r="E7" s="7">
        <f t="shared" si="3"/>
        <v>2</v>
      </c>
      <c r="F7" s="10">
        <f t="shared" si="4"/>
        <v>0.08</v>
      </c>
      <c r="G7" s="12">
        <f t="shared" si="0"/>
        <v>8.0000000000000004E-4</v>
      </c>
      <c r="H7" s="11">
        <f t="shared" si="1"/>
        <v>0.01</v>
      </c>
    </row>
    <row r="8" spans="1:8" x14ac:dyDescent="0.3">
      <c r="B8">
        <f t="shared" si="2"/>
        <v>500</v>
      </c>
      <c r="D8" s="9"/>
      <c r="E8" s="7"/>
      <c r="F8" s="10"/>
      <c r="G8" s="12"/>
      <c r="H8" s="11"/>
    </row>
    <row r="9" spans="1:8" x14ac:dyDescent="0.3">
      <c r="E9" s="7">
        <f t="shared" si="3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E5B9-B972-420A-A03D-9D6CCA4A4BBB}">
  <dimension ref="A1:C8"/>
  <sheetViews>
    <sheetView workbookViewId="0">
      <selection activeCell="A3" sqref="A3"/>
    </sheetView>
  </sheetViews>
  <sheetFormatPr defaultRowHeight="14.4" x14ac:dyDescent="0.3"/>
  <cols>
    <col min="1" max="1" width="39" customWidth="1"/>
  </cols>
  <sheetData>
    <row r="1" spans="1:3" x14ac:dyDescent="0.3">
      <c r="A1" t="s">
        <v>65</v>
      </c>
      <c r="B1" s="7"/>
    </row>
    <row r="2" spans="1:3" x14ac:dyDescent="0.3">
      <c r="A2" t="s">
        <v>77</v>
      </c>
      <c r="B2" s="7">
        <v>1</v>
      </c>
    </row>
    <row r="3" spans="1:3" x14ac:dyDescent="0.3">
      <c r="A3" t="s">
        <v>67</v>
      </c>
      <c r="B3" s="7">
        <v>50000</v>
      </c>
    </row>
    <row r="4" spans="1:3" x14ac:dyDescent="0.3">
      <c r="A4" t="s">
        <v>68</v>
      </c>
      <c r="B4" s="19">
        <f>1/B3</f>
        <v>2.0000000000000002E-5</v>
      </c>
    </row>
    <row r="5" spans="1:3" x14ac:dyDescent="0.3">
      <c r="A5" t="s">
        <v>73</v>
      </c>
      <c r="B5" s="19">
        <f>4.6*10^-5</f>
        <v>4.6E-5</v>
      </c>
    </row>
    <row r="6" spans="1:3" x14ac:dyDescent="0.3">
      <c r="A6" t="s">
        <v>72</v>
      </c>
      <c r="B6" s="19">
        <f>2*B3*B5</f>
        <v>4.5999999999999996</v>
      </c>
      <c r="C6" t="s">
        <v>74</v>
      </c>
    </row>
    <row r="7" spans="1:3" x14ac:dyDescent="0.3">
      <c r="A7" t="s">
        <v>69</v>
      </c>
      <c r="B7" s="14">
        <f>_xlfn.CHISQ.DIST(B6,2,TRUE)</f>
        <v>0.8997411562771962</v>
      </c>
      <c r="C7" t="s">
        <v>76</v>
      </c>
    </row>
    <row r="8" spans="1:3" x14ac:dyDescent="0.3">
      <c r="A8" t="s">
        <v>75</v>
      </c>
      <c r="B8" s="14">
        <f>B7</f>
        <v>0.8997411562771962</v>
      </c>
      <c r="C8" t="s">
        <v>70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0725-A7DD-4FF1-949E-EBFFA6FEC45F}">
  <dimension ref="A1:C9"/>
  <sheetViews>
    <sheetView workbookViewId="0">
      <selection activeCell="B7" sqref="B7"/>
    </sheetView>
  </sheetViews>
  <sheetFormatPr defaultRowHeight="14.4" x14ac:dyDescent="0.3"/>
  <cols>
    <col min="1" max="1" width="55.21875" customWidth="1"/>
  </cols>
  <sheetData>
    <row r="1" spans="1:3" x14ac:dyDescent="0.3">
      <c r="A1" t="s">
        <v>65</v>
      </c>
      <c r="B1" s="7"/>
    </row>
    <row r="2" spans="1:3" x14ac:dyDescent="0.3">
      <c r="A2" t="s">
        <v>66</v>
      </c>
      <c r="B2" s="7">
        <v>1</v>
      </c>
    </row>
    <row r="3" spans="1:3" x14ac:dyDescent="0.3">
      <c r="A3" t="s">
        <v>71</v>
      </c>
      <c r="B3" s="19">
        <v>3.0000000000000001E-3</v>
      </c>
    </row>
    <row r="4" spans="1:3" x14ac:dyDescent="0.3">
      <c r="A4" t="s">
        <v>78</v>
      </c>
      <c r="B4" s="19">
        <f>EXP(-B3*300)</f>
        <v>0.40656965974059911</v>
      </c>
    </row>
    <row r="5" spans="1:3" x14ac:dyDescent="0.3">
      <c r="A5" t="s">
        <v>79</v>
      </c>
      <c r="B5" s="19">
        <f>EXP(-B3*500)</f>
        <v>0.22313016014842982</v>
      </c>
    </row>
    <row r="6" spans="1:3" x14ac:dyDescent="0.3">
      <c r="A6" t="s">
        <v>80</v>
      </c>
      <c r="B6" s="19">
        <f>B5/B4</f>
        <v>0.54881163609402639</v>
      </c>
      <c r="C6" t="s">
        <v>81</v>
      </c>
    </row>
    <row r="7" spans="1:3" x14ac:dyDescent="0.3">
      <c r="A7" t="s">
        <v>83</v>
      </c>
      <c r="B7" s="21">
        <v>1000</v>
      </c>
    </row>
    <row r="8" spans="1:3" x14ac:dyDescent="0.3">
      <c r="A8" t="s">
        <v>82</v>
      </c>
      <c r="B8" s="5">
        <f>B7*B6</f>
        <v>548.81163609402643</v>
      </c>
    </row>
    <row r="9" spans="1:3" x14ac:dyDescent="0.3">
      <c r="A9" t="s">
        <v>84</v>
      </c>
      <c r="B9" s="5">
        <f>1/B3</f>
        <v>333.33333333333331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E957-636A-48D5-81F9-F1F281D7201C}">
  <dimension ref="A1:C8"/>
  <sheetViews>
    <sheetView workbookViewId="0">
      <selection activeCell="E1" sqref="E1"/>
    </sheetView>
  </sheetViews>
  <sheetFormatPr defaultRowHeight="14.4" x14ac:dyDescent="0.3"/>
  <cols>
    <col min="1" max="1" width="22" customWidth="1"/>
  </cols>
  <sheetData>
    <row r="1" spans="1:3" x14ac:dyDescent="0.3">
      <c r="A1" t="s">
        <v>85</v>
      </c>
      <c r="B1" s="7">
        <v>25</v>
      </c>
    </row>
    <row r="2" spans="1:3" x14ac:dyDescent="0.3">
      <c r="A2" t="s">
        <v>91</v>
      </c>
      <c r="B2" s="7">
        <f>B1-1</f>
        <v>24</v>
      </c>
    </row>
    <row r="3" spans="1:3" x14ac:dyDescent="0.3">
      <c r="A3" t="s">
        <v>87</v>
      </c>
      <c r="B3">
        <v>0.10199999999999999</v>
      </c>
    </row>
    <row r="4" spans="1:3" x14ac:dyDescent="0.3">
      <c r="A4" t="s">
        <v>88</v>
      </c>
      <c r="B4">
        <v>5.0000000000000001E-3</v>
      </c>
    </row>
    <row r="5" spans="1:3" x14ac:dyDescent="0.3">
      <c r="A5" t="s">
        <v>96</v>
      </c>
      <c r="B5">
        <v>0.95</v>
      </c>
    </row>
    <row r="6" spans="1:3" x14ac:dyDescent="0.3">
      <c r="A6" t="s">
        <v>89</v>
      </c>
      <c r="B6">
        <f>1-B5</f>
        <v>5.0000000000000044E-2</v>
      </c>
    </row>
    <row r="7" spans="1:3" x14ac:dyDescent="0.3">
      <c r="A7" t="s">
        <v>90</v>
      </c>
      <c r="B7" s="10">
        <f>_xlfn.T.INV.2T(B6,B2)</f>
        <v>2.0638985616280254</v>
      </c>
      <c r="C7" t="s">
        <v>93</v>
      </c>
    </row>
    <row r="8" spans="1:3" x14ac:dyDescent="0.3">
      <c r="A8" t="s">
        <v>92</v>
      </c>
      <c r="B8" s="2">
        <f>B3+(B4*B7)/SQRT(B1)</f>
        <v>0.10406389856162802</v>
      </c>
      <c r="C8" t="s">
        <v>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002C-60DD-4787-8C89-BCE936E92282}">
  <dimension ref="A1:C18"/>
  <sheetViews>
    <sheetView workbookViewId="0">
      <selection activeCell="E4" sqref="E4"/>
    </sheetView>
  </sheetViews>
  <sheetFormatPr defaultRowHeight="14.4" x14ac:dyDescent="0.3"/>
  <cols>
    <col min="1" max="1" width="22" customWidth="1"/>
  </cols>
  <sheetData>
    <row r="1" spans="1:3" x14ac:dyDescent="0.3">
      <c r="A1" t="s">
        <v>95</v>
      </c>
      <c r="B1" s="7">
        <v>10</v>
      </c>
    </row>
    <row r="2" spans="1:3" x14ac:dyDescent="0.3">
      <c r="A2" t="s">
        <v>91</v>
      </c>
      <c r="B2" s="7">
        <f>B1-1</f>
        <v>9</v>
      </c>
    </row>
    <row r="3" spans="1:3" x14ac:dyDescent="0.3">
      <c r="A3" t="s">
        <v>100</v>
      </c>
      <c r="B3">
        <v>102.5</v>
      </c>
    </row>
    <row r="4" spans="1:3" x14ac:dyDescent="0.3">
      <c r="A4" t="s">
        <v>101</v>
      </c>
      <c r="B4">
        <v>9.4499999999999993</v>
      </c>
    </row>
    <row r="5" spans="1:3" x14ac:dyDescent="0.3">
      <c r="A5" t="s">
        <v>96</v>
      </c>
      <c r="B5">
        <v>0.8</v>
      </c>
    </row>
    <row r="6" spans="1:3" x14ac:dyDescent="0.3">
      <c r="A6" t="s">
        <v>14</v>
      </c>
      <c r="B6">
        <f>(1-B5)/2</f>
        <v>9.9999999999999978E-2</v>
      </c>
    </row>
    <row r="7" spans="1:3" x14ac:dyDescent="0.3">
      <c r="A7" t="s">
        <v>90</v>
      </c>
      <c r="B7" s="22">
        <f>_xlfn.T.INV.2T(B6,B2)</f>
        <v>1.8331129326562374</v>
      </c>
      <c r="C7" t="s">
        <v>93</v>
      </c>
    </row>
    <row r="8" spans="1:3" x14ac:dyDescent="0.3">
      <c r="A8" t="s">
        <v>102</v>
      </c>
      <c r="B8" s="22">
        <f>_xlfn.CHISQ.INV(B6/2,B2)</f>
        <v>3.3251128430668144</v>
      </c>
      <c r="C8" t="s">
        <v>93</v>
      </c>
    </row>
    <row r="9" spans="1:3" x14ac:dyDescent="0.3">
      <c r="A9" t="s">
        <v>103</v>
      </c>
      <c r="B9" s="22">
        <f>_xlfn.CHISQ.INV.RT(B6/2,B2)</f>
        <v>16.918977604620451</v>
      </c>
      <c r="C9" t="s">
        <v>93</v>
      </c>
    </row>
    <row r="10" spans="1:3" x14ac:dyDescent="0.3">
      <c r="A10" s="1" t="s">
        <v>97</v>
      </c>
      <c r="B10" s="22"/>
    </row>
    <row r="11" spans="1:3" x14ac:dyDescent="0.3">
      <c r="A11" t="s">
        <v>99</v>
      </c>
      <c r="B11" s="22">
        <f>B3+(B4*B7)/SQRT(B1)</f>
        <v>107.9779874113518</v>
      </c>
      <c r="C11" t="s">
        <v>94</v>
      </c>
    </row>
    <row r="12" spans="1:3" x14ac:dyDescent="0.3">
      <c r="A12" t="s">
        <v>98</v>
      </c>
      <c r="B12" s="22">
        <f>B3-(B4*B7)/SQRT(B1)</f>
        <v>97.022012588648195</v>
      </c>
    </row>
    <row r="13" spans="1:3" x14ac:dyDescent="0.3">
      <c r="A13" s="1" t="s">
        <v>105</v>
      </c>
      <c r="B13" s="22"/>
    </row>
    <row r="14" spans="1:3" x14ac:dyDescent="0.3">
      <c r="A14" t="s">
        <v>99</v>
      </c>
      <c r="B14" s="22">
        <f>B4^2*B2/B8</f>
        <v>241.71284943782882</v>
      </c>
      <c r="C14" t="s">
        <v>94</v>
      </c>
    </row>
    <row r="15" spans="1:3" x14ac:dyDescent="0.3">
      <c r="A15" t="s">
        <v>98</v>
      </c>
      <c r="B15" s="22">
        <f>B4^2*B2/B9</f>
        <v>47.504200240829505</v>
      </c>
    </row>
    <row r="16" spans="1:3" x14ac:dyDescent="0.3">
      <c r="A16" s="1" t="s">
        <v>104</v>
      </c>
      <c r="B16" s="22"/>
    </row>
    <row r="17" spans="1:2" x14ac:dyDescent="0.3">
      <c r="A17" t="s">
        <v>99</v>
      </c>
      <c r="B17" s="22">
        <f>SQRT(B14)</f>
        <v>15.547117078025392</v>
      </c>
    </row>
    <row r="18" spans="1:2" x14ac:dyDescent="0.3">
      <c r="A18" t="s">
        <v>98</v>
      </c>
      <c r="B18" s="22">
        <f>SQRT(B15)</f>
        <v>6.8923290868058169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0DA3-857E-4B82-9946-46838AA7D7BD}">
  <dimension ref="A1:H24"/>
  <sheetViews>
    <sheetView topLeftCell="A4" workbookViewId="0">
      <selection activeCell="I8" sqref="I8"/>
    </sheetView>
  </sheetViews>
  <sheetFormatPr defaultRowHeight="14.4" x14ac:dyDescent="0.3"/>
  <cols>
    <col min="1" max="1" width="26.109375" customWidth="1"/>
    <col min="6" max="6" width="15.5546875" customWidth="1"/>
    <col min="7" max="7" width="13" customWidth="1"/>
  </cols>
  <sheetData>
    <row r="1" spans="1:8" x14ac:dyDescent="0.3">
      <c r="A1" t="s">
        <v>117</v>
      </c>
      <c r="B1" s="7">
        <v>5</v>
      </c>
      <c r="F1" t="s">
        <v>106</v>
      </c>
      <c r="G1" t="s">
        <v>107</v>
      </c>
      <c r="H1" t="s">
        <v>108</v>
      </c>
    </row>
    <row r="2" spans="1:8" x14ac:dyDescent="0.3">
      <c r="A2" t="s">
        <v>91</v>
      </c>
      <c r="B2" s="7">
        <f>B1-1</f>
        <v>4</v>
      </c>
      <c r="F2" s="9">
        <v>1</v>
      </c>
      <c r="G2" s="9">
        <v>660</v>
      </c>
      <c r="H2" s="7">
        <f>(G2-$B$3)^2</f>
        <v>10404</v>
      </c>
    </row>
    <row r="3" spans="1:8" x14ac:dyDescent="0.3">
      <c r="A3" t="s">
        <v>109</v>
      </c>
      <c r="B3" s="7">
        <f>G7/B1</f>
        <v>558</v>
      </c>
      <c r="F3" s="9">
        <v>2</v>
      </c>
      <c r="G3" s="9">
        <v>460</v>
      </c>
      <c r="H3" s="7">
        <f t="shared" ref="H3:H6" si="0">(G3-$B$3)^2</f>
        <v>9604</v>
      </c>
    </row>
    <row r="4" spans="1:8" x14ac:dyDescent="0.3">
      <c r="A4" t="s">
        <v>110</v>
      </c>
      <c r="B4" s="5">
        <f>SQRT(H7/B2)</f>
        <v>72.249567472753768</v>
      </c>
      <c r="F4" s="9">
        <v>3</v>
      </c>
      <c r="G4" s="9">
        <v>540</v>
      </c>
      <c r="H4" s="7">
        <f t="shared" si="0"/>
        <v>324</v>
      </c>
    </row>
    <row r="5" spans="1:8" x14ac:dyDescent="0.3">
      <c r="A5" s="1" t="s">
        <v>113</v>
      </c>
      <c r="B5" s="7">
        <v>0.95</v>
      </c>
      <c r="F5" s="9">
        <v>4</v>
      </c>
      <c r="G5" s="9">
        <v>580</v>
      </c>
      <c r="H5" s="7">
        <f t="shared" si="0"/>
        <v>484</v>
      </c>
    </row>
    <row r="6" spans="1:8" x14ac:dyDescent="0.3">
      <c r="A6" t="s">
        <v>115</v>
      </c>
      <c r="B6" s="7">
        <f>(1-B5)/2</f>
        <v>2.5000000000000022E-2</v>
      </c>
      <c r="F6" s="9">
        <v>5</v>
      </c>
      <c r="G6" s="9">
        <v>550</v>
      </c>
      <c r="H6" s="7">
        <f t="shared" si="0"/>
        <v>64</v>
      </c>
    </row>
    <row r="7" spans="1:8" x14ac:dyDescent="0.3">
      <c r="A7" t="s">
        <v>90</v>
      </c>
      <c r="B7" s="20">
        <f>_xlfn.T.INV.2T(B6,B2)</f>
        <v>3.4954059325164364</v>
      </c>
      <c r="C7" t="s">
        <v>93</v>
      </c>
      <c r="G7" s="7">
        <f>SUM(G2:G6)</f>
        <v>2790</v>
      </c>
      <c r="H7" s="7">
        <f>SUM(H2:H6)</f>
        <v>20880</v>
      </c>
    </row>
    <row r="8" spans="1:8" x14ac:dyDescent="0.3">
      <c r="A8" s="1" t="s">
        <v>114</v>
      </c>
      <c r="B8" s="7">
        <v>0.9</v>
      </c>
      <c r="G8" s="7"/>
      <c r="H8" s="7"/>
    </row>
    <row r="9" spans="1:8" x14ac:dyDescent="0.3">
      <c r="A9" t="s">
        <v>116</v>
      </c>
      <c r="B9" s="7">
        <f>1-B8</f>
        <v>9.9999999999999978E-2</v>
      </c>
      <c r="G9" s="7"/>
      <c r="H9" s="7"/>
    </row>
    <row r="10" spans="1:8" x14ac:dyDescent="0.3">
      <c r="A10" t="s">
        <v>102</v>
      </c>
      <c r="B10" s="20">
        <f>_xlfn.CHISQ.INV(B9/2,B2)</f>
        <v>0.71072302139732402</v>
      </c>
      <c r="C10" t="s">
        <v>93</v>
      </c>
      <c r="H10" s="7"/>
    </row>
    <row r="11" spans="1:8" x14ac:dyDescent="0.3">
      <c r="A11" t="s">
        <v>103</v>
      </c>
      <c r="B11" s="20">
        <f>_xlfn.CHISQ.INV.RT(B9/2,B2)</f>
        <v>9.4877290367811575</v>
      </c>
      <c r="C11" t="s">
        <v>93</v>
      </c>
    </row>
    <row r="12" spans="1:8" x14ac:dyDescent="0.3">
      <c r="A12" s="1" t="s">
        <v>97</v>
      </c>
      <c r="B12" s="20"/>
    </row>
    <row r="13" spans="1:8" x14ac:dyDescent="0.3">
      <c r="A13" t="s">
        <v>111</v>
      </c>
      <c r="B13" s="20">
        <f>B3+(B4*B7)/SQRT(B1)</f>
        <v>670.94002208662005</v>
      </c>
      <c r="C13" t="s">
        <v>94</v>
      </c>
    </row>
    <row r="14" spans="1:8" x14ac:dyDescent="0.3">
      <c r="A14" t="s">
        <v>112</v>
      </c>
      <c r="B14" s="20">
        <f>B3-(B4*B7)/SQRT(B1)</f>
        <v>445.05997791337995</v>
      </c>
    </row>
    <row r="15" spans="1:8" x14ac:dyDescent="0.3">
      <c r="A15" s="1" t="s">
        <v>105</v>
      </c>
      <c r="B15" s="20"/>
    </row>
    <row r="16" spans="1:8" x14ac:dyDescent="0.3">
      <c r="A16" t="s">
        <v>99</v>
      </c>
      <c r="B16" s="20">
        <f>B4^2*B2/B10</f>
        <v>29378.533368665427</v>
      </c>
      <c r="C16" t="s">
        <v>94</v>
      </c>
    </row>
    <row r="17" spans="1:3" x14ac:dyDescent="0.3">
      <c r="A17" t="s">
        <v>98</v>
      </c>
      <c r="B17" s="20">
        <f>B4^2*B2/B11</f>
        <v>2200.7373860545899</v>
      </c>
    </row>
    <row r="18" spans="1:3" x14ac:dyDescent="0.3">
      <c r="A18" s="1" t="s">
        <v>104</v>
      </c>
      <c r="B18" s="20"/>
    </row>
    <row r="19" spans="1:3" x14ac:dyDescent="0.3">
      <c r="A19" t="s">
        <v>99</v>
      </c>
      <c r="B19" s="20">
        <f>SQRT(B16)</f>
        <v>171.40167259588054</v>
      </c>
    </row>
    <row r="20" spans="1:3" x14ac:dyDescent="0.3">
      <c r="A20" t="s">
        <v>98</v>
      </c>
      <c r="B20" s="20">
        <f>SQRT(B17)</f>
        <v>46.91201750143123</v>
      </c>
    </row>
    <row r="22" spans="1:3" x14ac:dyDescent="0.3">
      <c r="A22" s="1" t="s">
        <v>118</v>
      </c>
    </row>
    <row r="23" spans="1:3" x14ac:dyDescent="0.3">
      <c r="A23" t="s">
        <v>119</v>
      </c>
      <c r="B23">
        <f>_xlfn.NORM.S.INV(B6)</f>
        <v>-1.9599639845400536</v>
      </c>
      <c r="C23" t="s">
        <v>93</v>
      </c>
    </row>
    <row r="24" spans="1:3" x14ac:dyDescent="0.3">
      <c r="A24" t="s">
        <v>120</v>
      </c>
      <c r="B24">
        <f>B3+B23*B4</f>
        <v>416.39344985480608</v>
      </c>
      <c r="C24" t="s">
        <v>94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ED96-3464-4293-8EA2-D9A14B56F1EA}">
  <dimension ref="A1:U29"/>
  <sheetViews>
    <sheetView zoomScale="80" zoomScaleNormal="80" workbookViewId="0">
      <selection activeCell="Q17" sqref="Q17"/>
    </sheetView>
  </sheetViews>
  <sheetFormatPr defaultRowHeight="14.4" x14ac:dyDescent="0.3"/>
  <cols>
    <col min="1" max="1" width="13.77734375" customWidth="1"/>
    <col min="2" max="2" width="14.109375" customWidth="1"/>
    <col min="3" max="4" width="16.109375" customWidth="1"/>
    <col min="5" max="5" width="8.77734375" customWidth="1"/>
    <col min="6" max="6" width="15.5546875" customWidth="1"/>
    <col min="8" max="9" width="12" bestFit="1" customWidth="1"/>
    <col min="14" max="14" width="11.77734375" customWidth="1"/>
    <col min="16" max="16" width="12.5546875" customWidth="1"/>
  </cols>
  <sheetData>
    <row r="1" spans="1:21" x14ac:dyDescent="0.3">
      <c r="A1" s="8" t="s">
        <v>121</v>
      </c>
      <c r="B1" s="7">
        <v>124</v>
      </c>
      <c r="C1" s="7"/>
      <c r="D1" s="7"/>
      <c r="E1" s="7"/>
    </row>
    <row r="2" spans="1:21" x14ac:dyDescent="0.3">
      <c r="A2" s="7" t="s">
        <v>29</v>
      </c>
      <c r="B2" s="7" t="s">
        <v>122</v>
      </c>
      <c r="C2" s="8" t="s">
        <v>49</v>
      </c>
      <c r="D2" s="8" t="s">
        <v>66</v>
      </c>
      <c r="E2" s="8" t="s">
        <v>31</v>
      </c>
      <c r="F2" s="8" t="s">
        <v>24</v>
      </c>
      <c r="G2" s="8" t="s">
        <v>37</v>
      </c>
      <c r="I2" s="9"/>
      <c r="J2" s="9"/>
      <c r="K2" s="9"/>
    </row>
    <row r="3" spans="1:21" x14ac:dyDescent="0.3">
      <c r="A3" s="9">
        <v>0</v>
      </c>
      <c r="B3" s="9">
        <v>0</v>
      </c>
      <c r="C3" s="9">
        <v>0.4</v>
      </c>
      <c r="D3" s="9">
        <v>1</v>
      </c>
      <c r="E3" s="9">
        <f>$B$1-1</f>
        <v>123</v>
      </c>
      <c r="F3" s="16">
        <f>E3/$B$1</f>
        <v>0.99193548387096775</v>
      </c>
      <c r="G3" s="5">
        <f>1/F3</f>
        <v>1.0081300813008129</v>
      </c>
      <c r="I3" s="14"/>
      <c r="J3" s="12"/>
      <c r="K3" s="11"/>
    </row>
    <row r="4" spans="1:21" x14ac:dyDescent="0.3">
      <c r="A4" s="7">
        <v>1</v>
      </c>
      <c r="B4" s="7">
        <f>C3</f>
        <v>0.4</v>
      </c>
      <c r="C4" s="7">
        <v>1</v>
      </c>
      <c r="D4" s="7">
        <v>3</v>
      </c>
      <c r="E4" s="7">
        <f>E3-D4</f>
        <v>120</v>
      </c>
      <c r="F4" s="16">
        <f t="shared" ref="F4:F9" si="0">E4/$B$1</f>
        <v>0.967741935483871</v>
      </c>
      <c r="G4" s="5">
        <f t="shared" ref="G4:G9" si="1">1/F4</f>
        <v>1.0333333333333332</v>
      </c>
      <c r="I4" s="14"/>
      <c r="J4" s="12"/>
      <c r="K4" s="11"/>
    </row>
    <row r="5" spans="1:21" x14ac:dyDescent="0.3">
      <c r="A5" s="7">
        <v>2</v>
      </c>
      <c r="B5" s="7">
        <f>C4</f>
        <v>1</v>
      </c>
      <c r="C5" s="7">
        <v>2</v>
      </c>
      <c r="D5" s="7">
        <v>5</v>
      </c>
      <c r="E5" s="7">
        <f t="shared" ref="E5:E9" si="2">E4-D5</f>
        <v>115</v>
      </c>
      <c r="F5" s="16">
        <f t="shared" si="0"/>
        <v>0.92741935483870963</v>
      </c>
      <c r="G5" s="5">
        <f t="shared" si="1"/>
        <v>1.0782608695652174</v>
      </c>
      <c r="I5" s="14"/>
      <c r="J5" s="12"/>
      <c r="K5" s="11"/>
    </row>
    <row r="6" spans="1:21" x14ac:dyDescent="0.3">
      <c r="A6" s="7">
        <v>3</v>
      </c>
      <c r="B6" s="7">
        <f t="shared" ref="B6:B10" si="3">C5</f>
        <v>2</v>
      </c>
      <c r="C6" s="7">
        <v>5</v>
      </c>
      <c r="D6" s="7">
        <v>15</v>
      </c>
      <c r="E6" s="7">
        <f t="shared" si="2"/>
        <v>100</v>
      </c>
      <c r="F6" s="16">
        <f t="shared" si="0"/>
        <v>0.80645161290322576</v>
      </c>
      <c r="G6" s="5">
        <f t="shared" si="1"/>
        <v>1.24</v>
      </c>
      <c r="I6" s="14"/>
      <c r="J6" s="12"/>
      <c r="K6" s="11"/>
    </row>
    <row r="7" spans="1:21" x14ac:dyDescent="0.3">
      <c r="A7" s="7">
        <v>4</v>
      </c>
      <c r="B7" s="7">
        <f t="shared" si="3"/>
        <v>5</v>
      </c>
      <c r="C7" s="7">
        <v>8</v>
      </c>
      <c r="D7" s="7">
        <v>20</v>
      </c>
      <c r="E7" s="7">
        <f t="shared" si="2"/>
        <v>80</v>
      </c>
      <c r="F7" s="16">
        <f t="shared" si="0"/>
        <v>0.64516129032258063</v>
      </c>
      <c r="G7" s="5">
        <f t="shared" si="1"/>
        <v>1.55</v>
      </c>
      <c r="I7" s="14"/>
      <c r="J7" s="12"/>
      <c r="K7" s="11"/>
    </row>
    <row r="8" spans="1:21" x14ac:dyDescent="0.3">
      <c r="A8" s="7">
        <v>5</v>
      </c>
      <c r="B8" s="7">
        <f t="shared" si="3"/>
        <v>8</v>
      </c>
      <c r="C8" s="7">
        <v>12</v>
      </c>
      <c r="D8" s="7">
        <v>30</v>
      </c>
      <c r="E8" s="7">
        <f t="shared" si="2"/>
        <v>50</v>
      </c>
      <c r="F8" s="16">
        <f t="shared" si="0"/>
        <v>0.40322580645161288</v>
      </c>
      <c r="G8" s="5">
        <f t="shared" si="1"/>
        <v>2.48</v>
      </c>
      <c r="I8" s="14"/>
      <c r="J8" s="12"/>
      <c r="K8" s="11"/>
    </row>
    <row r="9" spans="1:21" x14ac:dyDescent="0.3">
      <c r="A9" s="7">
        <v>6</v>
      </c>
      <c r="B9" s="7">
        <f t="shared" si="3"/>
        <v>12</v>
      </c>
      <c r="C9" s="7">
        <v>25</v>
      </c>
      <c r="D9" s="7">
        <v>50</v>
      </c>
      <c r="E9" s="7">
        <f t="shared" si="2"/>
        <v>0</v>
      </c>
      <c r="F9" s="16">
        <f t="shared" si="0"/>
        <v>0</v>
      </c>
      <c r="G9" s="5"/>
      <c r="I9" s="14"/>
    </row>
    <row r="10" spans="1:21" x14ac:dyDescent="0.3">
      <c r="A10" s="7"/>
      <c r="B10" s="7">
        <f t="shared" si="3"/>
        <v>25</v>
      </c>
      <c r="C10" s="7"/>
      <c r="D10" s="16">
        <f>SUM(D3:D9)</f>
        <v>124</v>
      </c>
      <c r="E10" s="5"/>
      <c r="G10" s="14"/>
    </row>
    <row r="11" spans="1:21" x14ac:dyDescent="0.3">
      <c r="B11" s="7"/>
    </row>
    <row r="12" spans="1:21" x14ac:dyDescent="0.3">
      <c r="A12" t="s">
        <v>60</v>
      </c>
    </row>
    <row r="13" spans="1:21" x14ac:dyDescent="0.3">
      <c r="A13" s="7" t="s">
        <v>29</v>
      </c>
      <c r="B13" s="7" t="s">
        <v>34</v>
      </c>
      <c r="C13" s="7" t="s">
        <v>35</v>
      </c>
      <c r="M13" s="1"/>
      <c r="P13" t="s">
        <v>53</v>
      </c>
      <c r="U13" s="18">
        <v>1.3</v>
      </c>
    </row>
    <row r="14" spans="1:21" x14ac:dyDescent="0.3">
      <c r="A14" s="7">
        <v>1</v>
      </c>
      <c r="B14" s="13">
        <f>LN(C4)</f>
        <v>0</v>
      </c>
      <c r="C14">
        <f>LN(LN(1/F4))</f>
        <v>-3.4176370915256387</v>
      </c>
      <c r="P14" t="s">
        <v>54</v>
      </c>
    </row>
    <row r="15" spans="1:21" x14ac:dyDescent="0.3">
      <c r="A15" s="7">
        <v>2</v>
      </c>
      <c r="B15" s="13">
        <f>LN(C5)</f>
        <v>0.69314718055994529</v>
      </c>
      <c r="C15">
        <f>LN(LN(1/F5))</f>
        <v>-2.5856188225269481</v>
      </c>
      <c r="P15" t="s">
        <v>123</v>
      </c>
    </row>
    <row r="16" spans="1:21" x14ac:dyDescent="0.3">
      <c r="A16" s="7">
        <v>3</v>
      </c>
      <c r="B16" s="13">
        <f>LN(C6)</f>
        <v>1.6094379124341003</v>
      </c>
      <c r="C16">
        <f>LN(LN(1/F6))</f>
        <v>-1.5365993402633418</v>
      </c>
      <c r="P16" t="s">
        <v>55</v>
      </c>
      <c r="Q16">
        <f>(0.632+3.4883)/1.3</f>
        <v>3.1694615384615386</v>
      </c>
    </row>
    <row r="17" spans="1:17" x14ac:dyDescent="0.3">
      <c r="A17" s="7">
        <v>4</v>
      </c>
      <c r="B17" s="13">
        <f>LN(C7)</f>
        <v>2.0794415416798357</v>
      </c>
      <c r="C17">
        <f>LN(LN(1/F7))</f>
        <v>-0.82495450383244051</v>
      </c>
      <c r="P17" t="s">
        <v>56</v>
      </c>
      <c r="Q17">
        <f>EXP(Q16)</f>
        <v>23.794668392536686</v>
      </c>
    </row>
    <row r="18" spans="1:17" x14ac:dyDescent="0.3">
      <c r="A18" s="7">
        <v>5</v>
      </c>
      <c r="B18" s="13">
        <f>LN(C8)</f>
        <v>2.4849066497880004</v>
      </c>
      <c r="C18">
        <f>LN(LN(1/F8))</f>
        <v>-9.6226183012615915E-2</v>
      </c>
    </row>
    <row r="19" spans="1:17" x14ac:dyDescent="0.3">
      <c r="A19" s="7">
        <v>6</v>
      </c>
      <c r="B19" s="13">
        <f t="shared" ref="B19" si="4">LN(C9)</f>
        <v>3.2188758248682006</v>
      </c>
    </row>
    <row r="21" spans="1:17" x14ac:dyDescent="0.3">
      <c r="A21" t="s">
        <v>61</v>
      </c>
    </row>
    <row r="22" spans="1:17" x14ac:dyDescent="0.3">
      <c r="A22" s="7" t="s">
        <v>29</v>
      </c>
      <c r="B22" s="8" t="s">
        <v>49</v>
      </c>
      <c r="C22" s="7" t="s">
        <v>38</v>
      </c>
    </row>
    <row r="23" spans="1:17" x14ac:dyDescent="0.3">
      <c r="A23" s="7">
        <v>1</v>
      </c>
      <c r="B23" s="7">
        <v>37.5</v>
      </c>
      <c r="C23" s="13">
        <f>-LN(G3)</f>
        <v>-8.0972102326193028E-3</v>
      </c>
    </row>
    <row r="24" spans="1:17" x14ac:dyDescent="0.3">
      <c r="A24" s="7">
        <v>2</v>
      </c>
      <c r="B24" s="7">
        <v>46</v>
      </c>
      <c r="C24" s="13">
        <f t="shared" ref="C24:C28" si="5">-LN(G4)</f>
        <v>-3.2789822822990755E-2</v>
      </c>
    </row>
    <row r="25" spans="1:17" x14ac:dyDescent="0.3">
      <c r="A25" s="7">
        <v>3</v>
      </c>
      <c r="B25" s="7">
        <v>48</v>
      </c>
      <c r="C25" s="13">
        <f t="shared" si="5"/>
        <v>-7.534943724178679E-2</v>
      </c>
    </row>
    <row r="26" spans="1:17" x14ac:dyDescent="0.3">
      <c r="A26" s="7">
        <v>4</v>
      </c>
      <c r="B26" s="7">
        <v>51.5</v>
      </c>
      <c r="C26" s="13">
        <f t="shared" si="5"/>
        <v>-0.21511137961694549</v>
      </c>
    </row>
    <row r="27" spans="1:17" x14ac:dyDescent="0.3">
      <c r="A27" s="7">
        <v>5</v>
      </c>
      <c r="B27" s="7">
        <v>53</v>
      </c>
      <c r="C27" s="13">
        <f t="shared" si="5"/>
        <v>-0.43825493093115531</v>
      </c>
    </row>
    <row r="28" spans="1:17" x14ac:dyDescent="0.3">
      <c r="A28" s="7">
        <v>6</v>
      </c>
      <c r="B28" s="7">
        <v>54.5</v>
      </c>
      <c r="C28" s="13">
        <f t="shared" si="5"/>
        <v>-0.90825856017689077</v>
      </c>
    </row>
    <row r="29" spans="1:17" x14ac:dyDescent="0.3">
      <c r="C29" s="1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F0DC-6BB5-43C3-8A2A-3A129C8FB28F}">
  <dimension ref="A1:B11"/>
  <sheetViews>
    <sheetView workbookViewId="0">
      <selection activeCell="B9" sqref="B9"/>
    </sheetView>
  </sheetViews>
  <sheetFormatPr defaultRowHeight="14.4" x14ac:dyDescent="0.3"/>
  <cols>
    <col min="1" max="1" width="20.77734375" customWidth="1"/>
  </cols>
  <sheetData>
    <row r="1" spans="1:2" x14ac:dyDescent="0.3">
      <c r="A1" t="s">
        <v>124</v>
      </c>
    </row>
    <row r="2" spans="1:2" x14ac:dyDescent="0.3">
      <c r="A2" t="s">
        <v>126</v>
      </c>
      <c r="B2">
        <f>15.1+10.7+8.8+11.3+12.6+14.4+8.7</f>
        <v>81.599999999999994</v>
      </c>
    </row>
    <row r="3" spans="1:2" x14ac:dyDescent="0.3">
      <c r="A3" t="s">
        <v>127</v>
      </c>
      <c r="B3">
        <v>7</v>
      </c>
    </row>
    <row r="4" spans="1:2" x14ac:dyDescent="0.3">
      <c r="A4" t="s">
        <v>137</v>
      </c>
      <c r="B4">
        <f>B3/B2</f>
        <v>8.5784313725490197E-2</v>
      </c>
    </row>
    <row r="5" spans="1:2" x14ac:dyDescent="0.3">
      <c r="A5" t="s">
        <v>129</v>
      </c>
      <c r="B5">
        <f>EXP(-B4*12)</f>
        <v>0.35721702644162273</v>
      </c>
    </row>
    <row r="6" spans="1:2" x14ac:dyDescent="0.3">
      <c r="A6" t="s">
        <v>130</v>
      </c>
      <c r="B6">
        <f>2*B3</f>
        <v>14</v>
      </c>
    </row>
    <row r="7" spans="1:2" x14ac:dyDescent="0.3">
      <c r="A7" t="s">
        <v>131</v>
      </c>
      <c r="B7">
        <f>0.05/2</f>
        <v>2.5000000000000001E-2</v>
      </c>
    </row>
    <row r="8" spans="1:2" x14ac:dyDescent="0.3">
      <c r="A8" t="s">
        <v>102</v>
      </c>
      <c r="B8">
        <f>_xlfn.CHISQ.INV(B7,B6)</f>
        <v>5.6287261030397318</v>
      </c>
    </row>
    <row r="9" spans="1:2" x14ac:dyDescent="0.3">
      <c r="A9" t="s">
        <v>103</v>
      </c>
      <c r="B9">
        <f>_xlfn.CHISQ.INV.RT(B7,B6)</f>
        <v>26.118948045037371</v>
      </c>
    </row>
    <row r="10" spans="1:2" x14ac:dyDescent="0.3">
      <c r="A10" t="s">
        <v>135</v>
      </c>
      <c r="B10">
        <f>B8/(2*B2)</f>
        <v>3.4489743278429734E-2</v>
      </c>
    </row>
    <row r="11" spans="1:2" x14ac:dyDescent="0.3">
      <c r="A11" t="s">
        <v>136</v>
      </c>
      <c r="B11">
        <f>B9/(2*B2)</f>
        <v>0.16004257380537606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3B70-83DF-47BD-95DC-F9C5D6ED2BEF}">
  <dimension ref="A1:B6"/>
  <sheetViews>
    <sheetView workbookViewId="0">
      <selection activeCell="A6" sqref="A6"/>
    </sheetView>
  </sheetViews>
  <sheetFormatPr defaultRowHeight="14.4" x14ac:dyDescent="0.3"/>
  <cols>
    <col min="1" max="1" width="21.109375" customWidth="1"/>
  </cols>
  <sheetData>
    <row r="1" spans="1:2" x14ac:dyDescent="0.3">
      <c r="A1" t="s">
        <v>142</v>
      </c>
      <c r="B1">
        <v>10</v>
      </c>
    </row>
    <row r="2" spans="1:2" x14ac:dyDescent="0.3">
      <c r="A2" t="s">
        <v>143</v>
      </c>
      <c r="B2">
        <v>2</v>
      </c>
    </row>
    <row r="3" spans="1:2" x14ac:dyDescent="0.3">
      <c r="A3" t="s">
        <v>138</v>
      </c>
      <c r="B3">
        <v>0.03</v>
      </c>
    </row>
    <row r="4" spans="1:2" x14ac:dyDescent="0.3">
      <c r="A4" t="s">
        <v>139</v>
      </c>
      <c r="B4">
        <f>_xlfn.NORM.S.INV(B3)</f>
        <v>-1.8807936081512509</v>
      </c>
    </row>
    <row r="5" spans="1:2" x14ac:dyDescent="0.3">
      <c r="A5" t="s">
        <v>145</v>
      </c>
      <c r="B5">
        <f>10+(B4*B2)</f>
        <v>6.2384127836974983</v>
      </c>
    </row>
    <row r="6" spans="1:2" x14ac:dyDescent="0.3">
      <c r="A6" t="s">
        <v>144</v>
      </c>
      <c r="B6">
        <f>_xlfn.NORM.INV(B3,B1,B2)</f>
        <v>6.2384127836974983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D0EA-28CD-439D-8249-1416CDB4B418}">
  <dimension ref="A1:J15"/>
  <sheetViews>
    <sheetView workbookViewId="0">
      <selection activeCell="B15" sqref="B15"/>
    </sheetView>
  </sheetViews>
  <sheetFormatPr defaultRowHeight="14.4" x14ac:dyDescent="0.3"/>
  <cols>
    <col min="1" max="1" width="14.21875" customWidth="1"/>
    <col min="4" max="4" width="9.77734375" customWidth="1"/>
  </cols>
  <sheetData>
    <row r="1" spans="1:10" x14ac:dyDescent="0.3">
      <c r="A1" t="s">
        <v>146</v>
      </c>
      <c r="B1">
        <v>4</v>
      </c>
      <c r="D1" s="7" t="s">
        <v>148</v>
      </c>
      <c r="E1" s="7">
        <v>1</v>
      </c>
      <c r="F1" s="7">
        <v>2</v>
      </c>
      <c r="G1" s="7">
        <v>3</v>
      </c>
      <c r="H1" s="7">
        <v>4</v>
      </c>
      <c r="I1" s="7">
        <v>5</v>
      </c>
    </row>
    <row r="2" spans="1:10" x14ac:dyDescent="0.3">
      <c r="A2" t="s">
        <v>147</v>
      </c>
      <c r="B2">
        <v>0.01</v>
      </c>
      <c r="D2" s="7" t="s">
        <v>149</v>
      </c>
      <c r="E2" s="7">
        <v>39.979999999999997</v>
      </c>
      <c r="F2" s="7">
        <v>40.01</v>
      </c>
      <c r="G2" s="7">
        <v>39.96</v>
      </c>
      <c r="H2" s="7">
        <v>40.03</v>
      </c>
      <c r="I2" s="7">
        <v>40.200000000000003</v>
      </c>
      <c r="J2">
        <f>SUM(E2:I2)</f>
        <v>200.18</v>
      </c>
    </row>
    <row r="3" spans="1:10" x14ac:dyDescent="0.3">
      <c r="A3" t="s">
        <v>150</v>
      </c>
      <c r="B3">
        <v>40</v>
      </c>
    </row>
    <row r="4" spans="1:10" x14ac:dyDescent="0.3">
      <c r="A4" t="s">
        <v>151</v>
      </c>
      <c r="B4">
        <v>0.9</v>
      </c>
      <c r="D4" t="s">
        <v>154</v>
      </c>
      <c r="E4" s="14">
        <f>(E2-$B$7)^2</f>
        <v>3.136000000000503E-3</v>
      </c>
      <c r="F4" s="14">
        <f t="shared" ref="F4:I4" si="0">(F2-$B$7)^2</f>
        <v>6.760000000001744E-4</v>
      </c>
      <c r="G4" s="14">
        <f t="shared" si="0"/>
        <v>5.7760000000000779E-3</v>
      </c>
      <c r="H4" s="14">
        <f t="shared" si="0"/>
        <v>3.6000000000002732E-5</v>
      </c>
      <c r="I4" s="14">
        <f t="shared" si="0"/>
        <v>2.6896000000000485E-2</v>
      </c>
      <c r="J4">
        <f>SUM(E4:I4)</f>
        <v>3.6520000000001246E-2</v>
      </c>
    </row>
    <row r="5" spans="1:10" x14ac:dyDescent="0.3">
      <c r="A5" t="s">
        <v>14</v>
      </c>
      <c r="B5">
        <f>1-0.9</f>
        <v>9.9999999999999978E-2</v>
      </c>
    </row>
    <row r="6" spans="1:10" x14ac:dyDescent="0.3">
      <c r="A6" t="s">
        <v>90</v>
      </c>
      <c r="B6" s="10">
        <f>_xlfn.T.INV.2T(B5/2,I1-1)</f>
        <v>2.7764451051977939</v>
      </c>
    </row>
    <row r="7" spans="1:10" x14ac:dyDescent="0.3">
      <c r="A7" t="s">
        <v>153</v>
      </c>
      <c r="B7">
        <f>J2/I1</f>
        <v>40.036000000000001</v>
      </c>
    </row>
    <row r="8" spans="1:10" x14ac:dyDescent="0.3">
      <c r="A8" t="s">
        <v>155</v>
      </c>
      <c r="B8" s="10">
        <f>SQRT(J4)</f>
        <v>0.19110206696946333</v>
      </c>
    </row>
    <row r="9" spans="1:10" x14ac:dyDescent="0.3">
      <c r="A9" t="s">
        <v>152</v>
      </c>
      <c r="B9">
        <f>B7-B8*B6/SQRT(I1)</f>
        <v>39.798715443461695</v>
      </c>
    </row>
    <row r="10" spans="1:10" x14ac:dyDescent="0.3">
      <c r="A10" t="s">
        <v>156</v>
      </c>
      <c r="B10">
        <f>B7+B6*B8/SQRT(I1)</f>
        <v>40.273284556538307</v>
      </c>
    </row>
    <row r="12" spans="1:10" x14ac:dyDescent="0.3">
      <c r="A12" t="s">
        <v>157</v>
      </c>
      <c r="B12">
        <f>(B7-B3)/(B2*SQRT(I1))</f>
        <v>1.6099689437999096</v>
      </c>
    </row>
    <row r="15" spans="1:10" x14ac:dyDescent="0.3">
      <c r="A15" t="s">
        <v>158</v>
      </c>
      <c r="B15">
        <f>_xlfn.NORM.S.INV(1-B5/2)</f>
        <v>1.6448536269514715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3AA9-BA4B-47E1-AE3D-2C7FDDCE3969}">
  <dimension ref="A1:D20"/>
  <sheetViews>
    <sheetView workbookViewId="0">
      <selection activeCell="I5" sqref="I5"/>
    </sheetView>
  </sheetViews>
  <sheetFormatPr defaultRowHeight="14.4" x14ac:dyDescent="0.3"/>
  <cols>
    <col min="1" max="1" width="9.44140625" customWidth="1"/>
    <col min="2" max="2" width="12" customWidth="1"/>
    <col min="3" max="3" width="13.77734375" customWidth="1"/>
  </cols>
  <sheetData>
    <row r="1" spans="1:4" x14ac:dyDescent="0.3">
      <c r="A1" t="s">
        <v>151</v>
      </c>
      <c r="B1">
        <v>0.8</v>
      </c>
    </row>
    <row r="2" spans="1:4" x14ac:dyDescent="0.3">
      <c r="A2" t="s">
        <v>159</v>
      </c>
    </row>
    <row r="3" spans="1:4" x14ac:dyDescent="0.3">
      <c r="A3" t="s">
        <v>14</v>
      </c>
      <c r="B3">
        <f>1-B1</f>
        <v>0.19999999999999996</v>
      </c>
    </row>
    <row r="4" spans="1:4" x14ac:dyDescent="0.3">
      <c r="A4" s="7" t="s">
        <v>160</v>
      </c>
      <c r="B4" t="s">
        <v>161</v>
      </c>
      <c r="C4" t="s">
        <v>103</v>
      </c>
      <c r="D4" s="7" t="s">
        <v>162</v>
      </c>
    </row>
    <row r="5" spans="1:4" x14ac:dyDescent="0.3">
      <c r="A5" s="7">
        <v>1</v>
      </c>
      <c r="B5">
        <f>_xlfn.CHISQ.INV($B$3/2,A5*2)</f>
        <v>0.21072103131565256</v>
      </c>
      <c r="C5">
        <f>_xlfn.CHISQ.INV.RT($B$3/2,A5*2)</f>
        <v>4.6051701859880918</v>
      </c>
      <c r="D5" s="7">
        <f>C5/B5</f>
        <v>21.854345326782838</v>
      </c>
    </row>
    <row r="6" spans="1:4" x14ac:dyDescent="0.3">
      <c r="A6" s="7">
        <v>2</v>
      </c>
      <c r="B6">
        <f t="shared" ref="B6:B20" si="0">_xlfn.CHISQ.INV($B$3/2,A6*2)</f>
        <v>1.0636232167792239</v>
      </c>
      <c r="C6">
        <f t="shared" ref="C6:C20" si="1">_xlfn.CHISQ.INV.RT($B$3/2,A6*2)</f>
        <v>7.779440339734859</v>
      </c>
      <c r="D6" s="7">
        <f t="shared" ref="D6:D17" si="2">C6/B6</f>
        <v>7.3140941425591652</v>
      </c>
    </row>
    <row r="7" spans="1:4" x14ac:dyDescent="0.3">
      <c r="A7" s="7">
        <v>3</v>
      </c>
      <c r="B7">
        <f t="shared" si="0"/>
        <v>2.2041306564986423</v>
      </c>
      <c r="C7">
        <f t="shared" si="1"/>
        <v>10.64464067566842</v>
      </c>
      <c r="D7" s="7">
        <f t="shared" si="2"/>
        <v>4.8294054820588066</v>
      </c>
    </row>
    <row r="8" spans="1:4" x14ac:dyDescent="0.3">
      <c r="A8" s="7">
        <v>4</v>
      </c>
      <c r="B8">
        <f t="shared" si="0"/>
        <v>3.4895391256498227</v>
      </c>
      <c r="C8">
        <f t="shared" si="1"/>
        <v>13.361566136511728</v>
      </c>
      <c r="D8" s="7">
        <f t="shared" si="2"/>
        <v>3.8290346247439007</v>
      </c>
    </row>
    <row r="9" spans="1:4" x14ac:dyDescent="0.3">
      <c r="A9" s="7">
        <v>5</v>
      </c>
      <c r="B9">
        <f t="shared" si="0"/>
        <v>4.8651820519253288</v>
      </c>
      <c r="C9">
        <f t="shared" si="1"/>
        <v>15.987179172105261</v>
      </c>
      <c r="D9" s="7">
        <f t="shared" si="2"/>
        <v>3.2860392481671994</v>
      </c>
    </row>
    <row r="10" spans="1:4" x14ac:dyDescent="0.3">
      <c r="A10" s="7">
        <v>6</v>
      </c>
      <c r="B10">
        <f t="shared" si="0"/>
        <v>6.3037960595843234</v>
      </c>
      <c r="C10">
        <f t="shared" si="1"/>
        <v>18.549347786703244</v>
      </c>
      <c r="D10" s="7">
        <f t="shared" si="2"/>
        <v>2.9425678767796941</v>
      </c>
    </row>
    <row r="11" spans="1:4" x14ac:dyDescent="0.3">
      <c r="A11" s="7">
        <v>7</v>
      </c>
      <c r="B11">
        <f t="shared" si="0"/>
        <v>7.78953360975237</v>
      </c>
      <c r="C11">
        <f t="shared" si="1"/>
        <v>21.064144212997057</v>
      </c>
      <c r="D11" s="7">
        <f t="shared" si="2"/>
        <v>2.7041598725018772</v>
      </c>
    </row>
    <row r="12" spans="1:4" x14ac:dyDescent="0.3">
      <c r="A12" s="7">
        <v>8</v>
      </c>
      <c r="B12">
        <f t="shared" si="0"/>
        <v>9.3122363537960045</v>
      </c>
      <c r="C12">
        <f t="shared" si="1"/>
        <v>23.541828923096112</v>
      </c>
      <c r="D12" s="7">
        <f t="shared" si="2"/>
        <v>2.5280532010444099</v>
      </c>
    </row>
    <row r="13" spans="1:4" x14ac:dyDescent="0.3">
      <c r="A13" s="7">
        <v>9</v>
      </c>
      <c r="B13">
        <f t="shared" si="0"/>
        <v>10.864936116508861</v>
      </c>
      <c r="C13">
        <f t="shared" si="1"/>
        <v>25.989423082637213</v>
      </c>
      <c r="D13" s="7">
        <f t="shared" si="2"/>
        <v>2.3920456414968942</v>
      </c>
    </row>
    <row r="14" spans="1:4" x14ac:dyDescent="0.3">
      <c r="A14" s="7">
        <v>10</v>
      </c>
      <c r="B14">
        <f t="shared" si="0"/>
        <v>12.442609210450065</v>
      </c>
      <c r="C14">
        <f t="shared" si="1"/>
        <v>28.411980584305635</v>
      </c>
      <c r="D14" s="7">
        <f t="shared" si="2"/>
        <v>2.2834423314077497</v>
      </c>
    </row>
    <row r="15" spans="1:4" x14ac:dyDescent="0.3">
      <c r="A15" s="7">
        <v>11</v>
      </c>
      <c r="B15">
        <f t="shared" si="0"/>
        <v>14.041493189421969</v>
      </c>
      <c r="C15">
        <f t="shared" si="1"/>
        <v>30.813282343953034</v>
      </c>
      <c r="D15" s="7">
        <f t="shared" si="2"/>
        <v>2.1944448448805955</v>
      </c>
    </row>
    <row r="16" spans="1:4" x14ac:dyDescent="0.3">
      <c r="A16" s="7">
        <v>12</v>
      </c>
      <c r="B16">
        <f t="shared" si="0"/>
        <v>15.658684052512823</v>
      </c>
      <c r="C16">
        <f t="shared" si="1"/>
        <v>33.196244288628179</v>
      </c>
      <c r="D16" s="7">
        <f t="shared" si="2"/>
        <v>2.1199894050676003</v>
      </c>
    </row>
    <row r="17" spans="1:4" x14ac:dyDescent="0.3">
      <c r="A17" s="7">
        <v>13</v>
      </c>
      <c r="B17">
        <f t="shared" si="0"/>
        <v>17.291884989738762</v>
      </c>
      <c r="C17">
        <f t="shared" si="1"/>
        <v>35.563171271923466</v>
      </c>
      <c r="D17" s="7">
        <f t="shared" si="2"/>
        <v>2.0566393596202572</v>
      </c>
    </row>
    <row r="18" spans="1:4" x14ac:dyDescent="0.3">
      <c r="A18" s="18">
        <v>14</v>
      </c>
      <c r="B18" s="1">
        <f t="shared" si="0"/>
        <v>18.939242371917498</v>
      </c>
      <c r="C18" s="1">
        <f t="shared" si="1"/>
        <v>37.915922544697068</v>
      </c>
      <c r="D18" s="18">
        <f t="shared" ref="D18:D20" si="3">C18/B18</f>
        <v>2.0019767317048323</v>
      </c>
    </row>
    <row r="19" spans="1:4" x14ac:dyDescent="0.3">
      <c r="A19" s="7">
        <v>15</v>
      </c>
      <c r="B19">
        <f t="shared" si="0"/>
        <v>20.599234614585342</v>
      </c>
      <c r="C19">
        <f t="shared" si="1"/>
        <v>40.256023738711804</v>
      </c>
      <c r="D19" s="7">
        <f t="shared" si="3"/>
        <v>1.9542485190303343</v>
      </c>
    </row>
    <row r="20" spans="1:4" x14ac:dyDescent="0.3">
      <c r="A20" s="7">
        <v>16</v>
      </c>
      <c r="B20">
        <f t="shared" si="0"/>
        <v>22.270594476644234</v>
      </c>
      <c r="C20">
        <f t="shared" si="1"/>
        <v>42.584745082980838</v>
      </c>
      <c r="D20" s="7">
        <f t="shared" si="3"/>
        <v>1.9121512507284255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8818-6442-4253-A4B8-AF8304D11906}">
  <dimension ref="A1:B19"/>
  <sheetViews>
    <sheetView workbookViewId="0">
      <selection activeCell="A6" sqref="A6"/>
    </sheetView>
  </sheetViews>
  <sheetFormatPr defaultRowHeight="14.4" x14ac:dyDescent="0.3"/>
  <cols>
    <col min="1" max="1" width="20.88671875" customWidth="1"/>
  </cols>
  <sheetData>
    <row r="1" spans="1:2" x14ac:dyDescent="0.3">
      <c r="A1" t="s">
        <v>164</v>
      </c>
      <c r="B1">
        <f>25*15</f>
        <v>375</v>
      </c>
    </row>
    <row r="2" spans="1:2" x14ac:dyDescent="0.3">
      <c r="A2" t="s">
        <v>163</v>
      </c>
      <c r="B2">
        <f>24*5</f>
        <v>120</v>
      </c>
    </row>
    <row r="3" spans="1:2" x14ac:dyDescent="0.3">
      <c r="A3" t="s">
        <v>125</v>
      </c>
      <c r="B3">
        <f>SUM(B1:B2)</f>
        <v>495</v>
      </c>
    </row>
    <row r="4" spans="1:2" x14ac:dyDescent="0.3">
      <c r="A4" t="s">
        <v>165</v>
      </c>
      <c r="B4">
        <v>1</v>
      </c>
    </row>
    <row r="5" spans="1:2" x14ac:dyDescent="0.3">
      <c r="A5" t="s">
        <v>68</v>
      </c>
      <c r="B5">
        <f>1/B3</f>
        <v>2.0202020202020202E-3</v>
      </c>
    </row>
    <row r="6" spans="1:2" x14ac:dyDescent="0.3">
      <c r="A6" t="s">
        <v>172</v>
      </c>
      <c r="B6">
        <f>1/B5</f>
        <v>495</v>
      </c>
    </row>
    <row r="7" spans="1:2" x14ac:dyDescent="0.3">
      <c r="A7" t="s">
        <v>166</v>
      </c>
      <c r="B7">
        <v>0.9</v>
      </c>
    </row>
    <row r="8" spans="1:2" x14ac:dyDescent="0.3">
      <c r="A8" t="s">
        <v>14</v>
      </c>
      <c r="B8">
        <f>1-B7</f>
        <v>9.9999999999999978E-2</v>
      </c>
    </row>
    <row r="9" spans="1:2" x14ac:dyDescent="0.3">
      <c r="A9" t="s">
        <v>167</v>
      </c>
      <c r="B9">
        <v>2</v>
      </c>
    </row>
    <row r="10" spans="1:2" x14ac:dyDescent="0.3">
      <c r="B10">
        <f>_xlfn.CHISQ.INV(B8/2,B9)</f>
        <v>0.10258658877510105</v>
      </c>
    </row>
    <row r="11" spans="1:2" x14ac:dyDescent="0.3">
      <c r="B11">
        <f>_xlfn.CHISQ.INV.RT(B8/2,B9)</f>
        <v>5.9914645471079826</v>
      </c>
    </row>
    <row r="13" spans="1:2" x14ac:dyDescent="0.3">
      <c r="A13" t="s">
        <v>133</v>
      </c>
      <c r="B13">
        <f>B10/(2*B3)</f>
        <v>1.0362281694454651E-4</v>
      </c>
    </row>
    <row r="14" spans="1:2" x14ac:dyDescent="0.3">
      <c r="A14" t="s">
        <v>134</v>
      </c>
      <c r="B14">
        <f>B11/(2*B3)</f>
        <v>6.0519843910181639E-3</v>
      </c>
    </row>
    <row r="16" spans="1:2" x14ac:dyDescent="0.3">
      <c r="A16" t="s">
        <v>170</v>
      </c>
      <c r="B16">
        <f>1/B13</f>
        <v>9650.384244380728</v>
      </c>
    </row>
    <row r="17" spans="1:2" x14ac:dyDescent="0.3">
      <c r="A17" t="s">
        <v>171</v>
      </c>
      <c r="B17">
        <f>1/B14</f>
        <v>165.23505934419035</v>
      </c>
    </row>
    <row r="18" spans="1:2" x14ac:dyDescent="0.3">
      <c r="A18" t="s">
        <v>168</v>
      </c>
      <c r="B18">
        <f>EXP(-B13*25)</f>
        <v>0.99741278220824503</v>
      </c>
    </row>
    <row r="19" spans="1:2" x14ac:dyDescent="0.3">
      <c r="A19" t="s">
        <v>169</v>
      </c>
      <c r="B19">
        <f>EXP(-B14*25)</f>
        <v>0.8595901184719833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8843-8395-4264-A39D-449BC65EFA39}">
  <dimension ref="A4:B16"/>
  <sheetViews>
    <sheetView workbookViewId="0">
      <selection activeCell="F19" sqref="F19"/>
    </sheetView>
  </sheetViews>
  <sheetFormatPr defaultRowHeight="14.4" x14ac:dyDescent="0.3"/>
  <cols>
    <col min="1" max="1" width="28.6640625" customWidth="1"/>
  </cols>
  <sheetData>
    <row r="4" spans="1:2" x14ac:dyDescent="0.3">
      <c r="A4" t="s">
        <v>177</v>
      </c>
      <c r="B4">
        <v>15</v>
      </c>
    </row>
    <row r="5" spans="1:2" x14ac:dyDescent="0.3">
      <c r="A5" t="s">
        <v>178</v>
      </c>
      <c r="B5">
        <v>96</v>
      </c>
    </row>
    <row r="6" spans="1:2" x14ac:dyDescent="0.3">
      <c r="A6" t="s">
        <v>173</v>
      </c>
      <c r="B6">
        <f>B4/96</f>
        <v>0.15625</v>
      </c>
    </row>
    <row r="7" spans="1:2" x14ac:dyDescent="0.3">
      <c r="A7" t="s">
        <v>166</v>
      </c>
      <c r="B7">
        <v>0.95</v>
      </c>
    </row>
    <row r="8" spans="1:2" x14ac:dyDescent="0.3">
      <c r="A8" t="s">
        <v>14</v>
      </c>
      <c r="B8">
        <f>1-B7</f>
        <v>5.0000000000000044E-2</v>
      </c>
    </row>
    <row r="9" spans="1:2" x14ac:dyDescent="0.3">
      <c r="A9" t="s">
        <v>175</v>
      </c>
      <c r="B9">
        <f>2*B5-2*B4</f>
        <v>162</v>
      </c>
    </row>
    <row r="10" spans="1:2" x14ac:dyDescent="0.3">
      <c r="A10" t="s">
        <v>176</v>
      </c>
      <c r="B10">
        <f>2*B4</f>
        <v>30</v>
      </c>
    </row>
    <row r="11" spans="1:2" x14ac:dyDescent="0.3">
      <c r="A11" t="s">
        <v>179</v>
      </c>
      <c r="B11">
        <f>2*B4+2</f>
        <v>32</v>
      </c>
    </row>
    <row r="12" spans="1:2" x14ac:dyDescent="0.3">
      <c r="A12" t="s">
        <v>180</v>
      </c>
      <c r="B12">
        <f>2*B5-2*B4</f>
        <v>162</v>
      </c>
    </row>
    <row r="13" spans="1:2" x14ac:dyDescent="0.3">
      <c r="A13" t="s">
        <v>181</v>
      </c>
      <c r="B13">
        <f>_xlfn.F.INV.RT(B8/2,B9,B10)</f>
        <v>1.8464105328992495</v>
      </c>
    </row>
    <row r="14" spans="1:2" x14ac:dyDescent="0.3">
      <c r="A14" t="s">
        <v>182</v>
      </c>
      <c r="B14">
        <f>_xlfn.F.INV.RT(B8/2,B11,B12)</f>
        <v>1.6391064958978974</v>
      </c>
    </row>
    <row r="15" spans="1:2" x14ac:dyDescent="0.3">
      <c r="A15" t="s">
        <v>174</v>
      </c>
      <c r="B15">
        <f>(1+(B5-B4+1)/B4*B13)^-1</f>
        <v>9.0141162666471542E-2</v>
      </c>
    </row>
    <row r="16" spans="1:2" x14ac:dyDescent="0.3">
      <c r="A16" t="s">
        <v>183</v>
      </c>
      <c r="B16">
        <f>(1+(B5-B4)*((B4+1)*B14)^-1)^-1</f>
        <v>0.24458411530148877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E105-ADB9-4A67-BBBF-370BB5CED181}">
  <dimension ref="A1:B21"/>
  <sheetViews>
    <sheetView workbookViewId="0">
      <selection activeCell="A5" sqref="A5:B9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160</v>
      </c>
      <c r="B1">
        <v>10</v>
      </c>
    </row>
    <row r="2" spans="1:2" x14ac:dyDescent="0.3">
      <c r="A2" t="s">
        <v>86</v>
      </c>
      <c r="B2">
        <v>4.38</v>
      </c>
    </row>
    <row r="3" spans="1:2" x14ac:dyDescent="0.3">
      <c r="A3" t="s">
        <v>141</v>
      </c>
      <c r="B3">
        <v>0.06</v>
      </c>
    </row>
    <row r="4" spans="1:2" x14ac:dyDescent="0.3">
      <c r="A4" t="s">
        <v>166</v>
      </c>
      <c r="B4">
        <v>0.99</v>
      </c>
    </row>
    <row r="5" spans="1:2" x14ac:dyDescent="0.3">
      <c r="A5" t="s">
        <v>14</v>
      </c>
      <c r="B5">
        <f>1-B4</f>
        <v>1.0000000000000009E-2</v>
      </c>
    </row>
    <row r="6" spans="1:2" x14ac:dyDescent="0.3">
      <c r="A6" t="s">
        <v>184</v>
      </c>
      <c r="B6">
        <f>B1-1</f>
        <v>9</v>
      </c>
    </row>
    <row r="7" spans="1:2" x14ac:dyDescent="0.3">
      <c r="A7" t="s">
        <v>90</v>
      </c>
      <c r="B7" s="2">
        <f>_xlfn.T.INV.2T(B5,B6)</f>
        <v>3.2498355415921263</v>
      </c>
    </row>
    <row r="8" spans="1:2" x14ac:dyDescent="0.3">
      <c r="A8" t="s">
        <v>102</v>
      </c>
      <c r="B8">
        <f>_xlfn.CHISQ.INV(B5/2,B6)</f>
        <v>1.7349329049966606</v>
      </c>
    </row>
    <row r="9" spans="1:2" x14ac:dyDescent="0.3">
      <c r="A9" t="s">
        <v>103</v>
      </c>
      <c r="B9">
        <f>_xlfn.CHISQ.INV.RT(B5/2,B6)</f>
        <v>23.589350781257387</v>
      </c>
    </row>
    <row r="11" spans="1:2" x14ac:dyDescent="0.3">
      <c r="A11" s="1" t="s">
        <v>140</v>
      </c>
    </row>
    <row r="12" spans="1:2" x14ac:dyDescent="0.3">
      <c r="A12" t="s">
        <v>185</v>
      </c>
      <c r="B12">
        <f>B2-B3*B7/SQRT(B1)</f>
        <v>4.318338706005612</v>
      </c>
    </row>
    <row r="13" spans="1:2" x14ac:dyDescent="0.3">
      <c r="A13" t="s">
        <v>186</v>
      </c>
      <c r="B13">
        <f>B2+B3*B7/SQRT(B2)</f>
        <v>4.4731698892246481</v>
      </c>
    </row>
    <row r="15" spans="1:2" x14ac:dyDescent="0.3">
      <c r="A15" s="1" t="s">
        <v>108</v>
      </c>
    </row>
    <row r="16" spans="1:2" x14ac:dyDescent="0.3">
      <c r="A16" t="s">
        <v>185</v>
      </c>
      <c r="B16">
        <f>B3^2*(B1-1)/B9</f>
        <v>1.3735011319490403E-3</v>
      </c>
    </row>
    <row r="17" spans="1:2" x14ac:dyDescent="0.3">
      <c r="A17" t="s">
        <v>186</v>
      </c>
      <c r="B17">
        <f>B3^2*(B1-1)/B8</f>
        <v>1.8675073777600845E-2</v>
      </c>
    </row>
    <row r="19" spans="1:2" x14ac:dyDescent="0.3">
      <c r="A19" s="1" t="s">
        <v>187</v>
      </c>
    </row>
    <row r="20" spans="1:2" x14ac:dyDescent="0.3">
      <c r="A20" t="s">
        <v>185</v>
      </c>
      <c r="B20">
        <f>SQRT(B16)</f>
        <v>3.7060776191939641E-2</v>
      </c>
    </row>
    <row r="21" spans="1:2" x14ac:dyDescent="0.3">
      <c r="A21" t="s">
        <v>186</v>
      </c>
      <c r="B21">
        <f>SQRT(B17)</f>
        <v>0.13665677362502324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79CE-5A38-4B49-AD7A-13BA60FD3258}">
  <dimension ref="A1:B13"/>
  <sheetViews>
    <sheetView workbookViewId="0">
      <selection activeCell="E10" sqref="E10"/>
    </sheetView>
  </sheetViews>
  <sheetFormatPr defaultRowHeight="14.4" x14ac:dyDescent="0.3"/>
  <cols>
    <col min="1" max="1" width="14" customWidth="1"/>
  </cols>
  <sheetData>
    <row r="1" spans="1:2" x14ac:dyDescent="0.3">
      <c r="A1" t="s">
        <v>188</v>
      </c>
      <c r="B1">
        <v>2.2000000000000002</v>
      </c>
    </row>
    <row r="2" spans="1:2" x14ac:dyDescent="0.3">
      <c r="A2" t="s">
        <v>189</v>
      </c>
      <c r="B2">
        <v>1.5</v>
      </c>
    </row>
    <row r="3" spans="1:2" x14ac:dyDescent="0.3">
      <c r="A3" t="s">
        <v>190</v>
      </c>
    </row>
    <row r="4" spans="1:2" x14ac:dyDescent="0.3">
      <c r="A4" t="s">
        <v>166</v>
      </c>
      <c r="B4">
        <v>0.95</v>
      </c>
    </row>
    <row r="5" spans="1:2" x14ac:dyDescent="0.3">
      <c r="A5" t="s">
        <v>14</v>
      </c>
      <c r="B5">
        <f>1-B4</f>
        <v>5.0000000000000044E-2</v>
      </c>
    </row>
    <row r="6" spans="1:2" x14ac:dyDescent="0.3">
      <c r="A6" t="s">
        <v>132</v>
      </c>
      <c r="B6">
        <f>B4+B5/2</f>
        <v>0.97499999999999998</v>
      </c>
    </row>
    <row r="7" spans="1:2" x14ac:dyDescent="0.3">
      <c r="A7" t="s">
        <v>191</v>
      </c>
      <c r="B7">
        <f>_xlfn.NORM.INV(B6,0,1)</f>
        <v>1.9599639845400536</v>
      </c>
    </row>
    <row r="8" spans="1:2" x14ac:dyDescent="0.3">
      <c r="A8" t="s">
        <v>166</v>
      </c>
      <c r="B8">
        <v>0.99</v>
      </c>
    </row>
    <row r="9" spans="1:2" x14ac:dyDescent="0.3">
      <c r="A9" t="s">
        <v>14</v>
      </c>
      <c r="B9">
        <f>1-B8</f>
        <v>1.0000000000000009E-2</v>
      </c>
    </row>
    <row r="10" spans="1:2" x14ac:dyDescent="0.3">
      <c r="A10" t="s">
        <v>132</v>
      </c>
      <c r="B10">
        <f>B8+B9/2</f>
        <v>0.995</v>
      </c>
    </row>
    <row r="11" spans="1:2" x14ac:dyDescent="0.3">
      <c r="A11" t="s">
        <v>192</v>
      </c>
      <c r="B11">
        <f>_xlfn.NORM.INV(B10,0,1)</f>
        <v>2.5758293035488999</v>
      </c>
    </row>
    <row r="13" spans="1:2" x14ac:dyDescent="0.3">
      <c r="A13" t="s">
        <v>193</v>
      </c>
      <c r="B13">
        <f>(B11/B7*B1/B2)^2</f>
        <v>3.7153593115833932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CA82-9484-4541-8C11-7B3FFA565C44}">
  <dimension ref="A1:B20"/>
  <sheetViews>
    <sheetView topLeftCell="A4" workbookViewId="0">
      <selection activeCell="E6" sqref="E6"/>
    </sheetView>
  </sheetViews>
  <sheetFormatPr defaultRowHeight="14.4" x14ac:dyDescent="0.3"/>
  <cols>
    <col min="1" max="1" width="28.109375" customWidth="1"/>
  </cols>
  <sheetData>
    <row r="1" spans="1:2" x14ac:dyDescent="0.3">
      <c r="A1" t="s">
        <v>194</v>
      </c>
    </row>
    <row r="2" spans="1:2" x14ac:dyDescent="0.3">
      <c r="A2" s="7">
        <v>0.28000000000000003</v>
      </c>
    </row>
    <row r="3" spans="1:2" x14ac:dyDescent="0.3">
      <c r="A3" s="7">
        <v>0.3</v>
      </c>
    </row>
    <row r="4" spans="1:2" x14ac:dyDescent="0.3">
      <c r="A4" s="7">
        <v>0.27</v>
      </c>
    </row>
    <row r="5" spans="1:2" x14ac:dyDescent="0.3">
      <c r="A5" s="7">
        <v>0.33</v>
      </c>
    </row>
    <row r="6" spans="1:2" x14ac:dyDescent="0.3">
      <c r="A6" s="7">
        <v>0.31</v>
      </c>
    </row>
    <row r="7" spans="1:2" x14ac:dyDescent="0.3">
      <c r="A7" s="7">
        <f>SUM(A2:A6)</f>
        <v>1.4900000000000002</v>
      </c>
    </row>
    <row r="8" spans="1:2" x14ac:dyDescent="0.3">
      <c r="A8" t="s">
        <v>160</v>
      </c>
      <c r="B8">
        <v>5</v>
      </c>
    </row>
    <row r="9" spans="1:2" x14ac:dyDescent="0.3">
      <c r="A9" t="s">
        <v>86</v>
      </c>
      <c r="B9">
        <f>A7/B8</f>
        <v>0.29800000000000004</v>
      </c>
    </row>
    <row r="10" spans="1:2" x14ac:dyDescent="0.3">
      <c r="A10" t="s">
        <v>196</v>
      </c>
      <c r="B10">
        <f>B8/A7</f>
        <v>3.3557046979865768</v>
      </c>
    </row>
    <row r="11" spans="1:2" x14ac:dyDescent="0.3">
      <c r="A11" t="s">
        <v>195</v>
      </c>
      <c r="B11">
        <f>1/B10</f>
        <v>0.29800000000000004</v>
      </c>
    </row>
    <row r="12" spans="1:2" x14ac:dyDescent="0.3">
      <c r="A12" t="s">
        <v>197</v>
      </c>
      <c r="B12">
        <v>0.99</v>
      </c>
    </row>
    <row r="13" spans="1:2" x14ac:dyDescent="0.3">
      <c r="A13" t="s">
        <v>14</v>
      </c>
      <c r="B13">
        <f>1-B12</f>
        <v>1.0000000000000009E-2</v>
      </c>
    </row>
    <row r="14" spans="1:2" x14ac:dyDescent="0.3">
      <c r="A14" t="s">
        <v>184</v>
      </c>
      <c r="B14">
        <f>2*B8</f>
        <v>10</v>
      </c>
    </row>
    <row r="15" spans="1:2" x14ac:dyDescent="0.3">
      <c r="A15" t="s">
        <v>102</v>
      </c>
      <c r="B15">
        <f>_xlfn.CHISQ.INV(B13/2,B14)</f>
        <v>2.1558564813046392</v>
      </c>
    </row>
    <row r="16" spans="1:2" x14ac:dyDescent="0.3">
      <c r="A16" t="s">
        <v>103</v>
      </c>
      <c r="B16">
        <f>_xlfn.CHISQ.INV.RT(B13/2,B14)</f>
        <v>25.188179571971169</v>
      </c>
    </row>
    <row r="17" spans="1:2" x14ac:dyDescent="0.3">
      <c r="A17" t="s">
        <v>133</v>
      </c>
      <c r="B17">
        <f>B15/(2*A7)</f>
        <v>0.72344177224987882</v>
      </c>
    </row>
    <row r="18" spans="1:2" x14ac:dyDescent="0.3">
      <c r="A18" t="s">
        <v>134</v>
      </c>
      <c r="B18">
        <f>B16/(2*A7)</f>
        <v>8.4524092523393168</v>
      </c>
    </row>
    <row r="19" spans="1:2" x14ac:dyDescent="0.3">
      <c r="A19" t="s">
        <v>171</v>
      </c>
      <c r="B19">
        <f>1/B17</f>
        <v>1.3822812538043452</v>
      </c>
    </row>
    <row r="20" spans="1:2" x14ac:dyDescent="0.3">
      <c r="A20" t="s">
        <v>170</v>
      </c>
      <c r="B20">
        <f>1/B18</f>
        <v>0.11830946303543415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9BE0-68BB-4A19-A6F2-6F88495C2CA3}">
  <dimension ref="A1:H20"/>
  <sheetViews>
    <sheetView tabSelected="1" workbookViewId="0">
      <selection activeCell="A21" sqref="A21"/>
    </sheetView>
  </sheetViews>
  <sheetFormatPr defaultRowHeight="14.4" x14ac:dyDescent="0.3"/>
  <cols>
    <col min="7" max="7" width="16.44140625" customWidth="1"/>
  </cols>
  <sheetData>
    <row r="1" spans="1:8" x14ac:dyDescent="0.3">
      <c r="A1" t="s">
        <v>198</v>
      </c>
      <c r="B1">
        <v>50</v>
      </c>
    </row>
    <row r="2" spans="1:8" x14ac:dyDescent="0.3">
      <c r="A2" t="s">
        <v>199</v>
      </c>
      <c r="B2">
        <v>0</v>
      </c>
      <c r="C2">
        <v>1</v>
      </c>
      <c r="D2">
        <v>2</v>
      </c>
      <c r="E2">
        <v>3</v>
      </c>
      <c r="F2">
        <v>4</v>
      </c>
    </row>
    <row r="3" spans="1:8" x14ac:dyDescent="0.3">
      <c r="A3" t="s">
        <v>198</v>
      </c>
      <c r="B3">
        <v>21</v>
      </c>
      <c r="C3">
        <v>18</v>
      </c>
      <c r="D3">
        <v>7</v>
      </c>
      <c r="E3">
        <v>3</v>
      </c>
      <c r="F3">
        <v>1</v>
      </c>
      <c r="G3" s="7" t="s">
        <v>201</v>
      </c>
    </row>
    <row r="4" spans="1:8" x14ac:dyDescent="0.3">
      <c r="A4" t="s">
        <v>200</v>
      </c>
      <c r="B4">
        <f>B2*B3</f>
        <v>0</v>
      </c>
      <c r="C4">
        <f t="shared" ref="C4:F4" si="0">C2*C3</f>
        <v>18</v>
      </c>
      <c r="D4">
        <f t="shared" si="0"/>
        <v>14</v>
      </c>
      <c r="E4">
        <f t="shared" si="0"/>
        <v>9</v>
      </c>
      <c r="F4">
        <f t="shared" si="0"/>
        <v>4</v>
      </c>
      <c r="G4" s="7">
        <f>SUM(B4:F4)</f>
        <v>45</v>
      </c>
    </row>
    <row r="5" spans="1:8" x14ac:dyDescent="0.3">
      <c r="A5" t="s">
        <v>128</v>
      </c>
      <c r="B5">
        <f>G4/B1</f>
        <v>0.9</v>
      </c>
      <c r="C5" t="s">
        <v>202</v>
      </c>
    </row>
    <row r="7" spans="1:8" x14ac:dyDescent="0.3">
      <c r="A7" t="s">
        <v>203</v>
      </c>
    </row>
    <row r="9" spans="1:8" x14ac:dyDescent="0.3">
      <c r="A9" s="7" t="s">
        <v>204</v>
      </c>
      <c r="B9" t="s">
        <v>205</v>
      </c>
      <c r="C9" s="7" t="s">
        <v>206</v>
      </c>
      <c r="D9" t="s">
        <v>207</v>
      </c>
      <c r="E9" t="s">
        <v>208</v>
      </c>
      <c r="G9" s="7" t="s">
        <v>210</v>
      </c>
      <c r="H9">
        <v>5</v>
      </c>
    </row>
    <row r="10" spans="1:8" x14ac:dyDescent="0.3">
      <c r="A10" s="7">
        <v>0</v>
      </c>
      <c r="B10" s="7">
        <v>21</v>
      </c>
      <c r="C10">
        <f>EXP(-$B$5)*$B$5^A10/FACT(A10)</f>
        <v>0.40656965974059911</v>
      </c>
      <c r="D10" s="15">
        <f>$B$1*C10</f>
        <v>20.328482987029954</v>
      </c>
      <c r="E10">
        <f>(B10-D10)^2/D10</f>
        <v>2.218242743425174E-2</v>
      </c>
      <c r="G10" t="s">
        <v>211</v>
      </c>
      <c r="H10">
        <v>1</v>
      </c>
    </row>
    <row r="11" spans="1:8" x14ac:dyDescent="0.3">
      <c r="A11" s="7">
        <v>1</v>
      </c>
      <c r="B11" s="7">
        <v>18</v>
      </c>
      <c r="C11">
        <f t="shared" ref="C11:C13" si="1">EXP(-$B$5)*$B$5^A11/FACT(A11)</f>
        <v>0.36591269376653923</v>
      </c>
      <c r="D11" s="15">
        <f t="shared" ref="D11:D14" si="2">$B$1*C11</f>
        <v>18.295634688326963</v>
      </c>
      <c r="E11">
        <f t="shared" ref="E11:E14" si="3">(B11-D11)^2/D11</f>
        <v>4.7770886569977146E-3</v>
      </c>
      <c r="G11" t="s">
        <v>212</v>
      </c>
      <c r="H11">
        <f>H9-1-H10</f>
        <v>3</v>
      </c>
    </row>
    <row r="12" spans="1:8" x14ac:dyDescent="0.3">
      <c r="A12" s="7">
        <v>2</v>
      </c>
      <c r="B12" s="7">
        <v>7</v>
      </c>
      <c r="C12">
        <f t="shared" si="1"/>
        <v>0.16466071219494266</v>
      </c>
      <c r="D12" s="15">
        <f t="shared" si="2"/>
        <v>8.2330356097471338</v>
      </c>
      <c r="E12">
        <f t="shared" si="3"/>
        <v>0.18466782933678849</v>
      </c>
    </row>
    <row r="13" spans="1:8" x14ac:dyDescent="0.3">
      <c r="A13" s="7">
        <v>3</v>
      </c>
      <c r="B13" s="7">
        <v>3</v>
      </c>
      <c r="C13">
        <f t="shared" si="1"/>
        <v>4.9398213658482799E-2</v>
      </c>
      <c r="D13" s="15">
        <f t="shared" si="2"/>
        <v>2.46991068292414</v>
      </c>
      <c r="E13">
        <f t="shared" si="3"/>
        <v>0.1137671438973982</v>
      </c>
    </row>
    <row r="14" spans="1:8" x14ac:dyDescent="0.3">
      <c r="A14" s="7">
        <v>4</v>
      </c>
      <c r="B14" s="7">
        <v>1</v>
      </c>
      <c r="C14">
        <f t="shared" ref="C14" si="4">EXP(-$B$5)*$B$5^A14/FACT(A14)</f>
        <v>1.111459807315863E-2</v>
      </c>
      <c r="D14" s="15">
        <f t="shared" si="2"/>
        <v>0.55572990365793151</v>
      </c>
      <c r="E14">
        <f t="shared" si="3"/>
        <v>0.35516519302744171</v>
      </c>
    </row>
    <row r="15" spans="1:8" x14ac:dyDescent="0.3">
      <c r="A15" s="7"/>
    </row>
    <row r="16" spans="1:8" x14ac:dyDescent="0.3">
      <c r="D16" t="s">
        <v>209</v>
      </c>
      <c r="E16">
        <f>SUM(E10:E15)</f>
        <v>0.68055968235287789</v>
      </c>
    </row>
    <row r="18" spans="1:5" x14ac:dyDescent="0.3">
      <c r="D18" t="s">
        <v>213</v>
      </c>
      <c r="E18">
        <f>_xlfn.CHISQ.INV.RT(0.1,H11)</f>
        <v>6.2513886311703235</v>
      </c>
    </row>
    <row r="20" spans="1:5" x14ac:dyDescent="0.3">
      <c r="A20" s="23" t="s">
        <v>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slide168</vt:lpstr>
      <vt:lpstr>exemplo3.8_exp</vt:lpstr>
      <vt:lpstr>exemplo3.9_weib</vt:lpstr>
      <vt:lpstr>3.1</vt:lpstr>
      <vt:lpstr>3.2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3.23</vt:lpstr>
      <vt:lpstr>3.24</vt:lpstr>
      <vt:lpstr>3.25</vt:lpstr>
      <vt:lpstr>3.26</vt:lpstr>
      <vt:lpstr>3.29</vt:lpstr>
      <vt:lpstr>3.30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Verde</dc:creator>
  <cp:lastModifiedBy>Salvatore Verde</cp:lastModifiedBy>
  <dcterms:created xsi:type="dcterms:W3CDTF">2026-03-29T22:37:02Z</dcterms:created>
  <dcterms:modified xsi:type="dcterms:W3CDTF">2026-04-02T18:19:07Z</dcterms:modified>
</cp:coreProperties>
</file>